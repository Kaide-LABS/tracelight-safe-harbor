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Debt Schedule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Returns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;(0.0%);&quot;-&quot;"/>
    <numFmt numFmtId="166" formatCode="#,##0;(#,##0);&quot;-&quot;"/>
    <numFmt numFmtId="167" formatCode="0.0&quot;x&quot;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sz val="10"/>
    </font>
    <font>
      <name val="Calibri"/>
      <color rgb="000000FF"/>
      <sz val="10"/>
    </font>
    <font>
      <name val="Calibri"/>
      <b val="1"/>
      <sz val="10"/>
    </font>
    <font>
      <name val="Calibri"/>
      <color rgb="00000000"/>
      <sz val="10"/>
    </font>
    <font>
      <name val="Calibri"/>
      <color rgb="00008000"/>
      <sz val="10"/>
    </font>
    <font>
      <name val="Calibri"/>
      <b val="1"/>
      <color rgb="001F3864"/>
      <sz val="10"/>
    </font>
    <font>
      <name val="Calibri"/>
      <i val="1"/>
      <color rgb="00595959"/>
      <sz val="9"/>
    </font>
    <font>
      <name val="Calibri"/>
      <color rgb="000000FF"/>
      <sz val="9"/>
    </font>
    <font>
      <name val="Calibri"/>
      <sz val="9"/>
    </font>
    <font>
      <name val="Calibri"/>
      <color rgb="00000000"/>
      <sz val="9"/>
    </font>
    <font>
      <name val="Calibri"/>
      <color rgb="00008000"/>
      <sz val="9"/>
    </font>
  </fonts>
  <fills count="7">
    <fill>
      <patternFill/>
    </fill>
    <fill>
      <patternFill patternType="gray125"/>
    </fill>
    <fill>
      <patternFill patternType="solid">
        <fgColor rgb="00EEF3FF"/>
      </patternFill>
    </fill>
    <fill>
      <patternFill patternType="solid">
        <fgColor rgb="001F3864"/>
      </patternFill>
    </fill>
    <fill>
      <patternFill patternType="solid">
        <fgColor rgb="00C5D9F1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top style="medium">
        <color rgb="002F5496"/>
      </top>
    </border>
    <border>
      <bottom style="thin">
        <color rgb="00BDD7E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164" fontId="4" fillId="0" borderId="0" pivotButton="0" quotePrefix="0" xfId="0"/>
    <xf numFmtId="0" fontId="5" fillId="0" borderId="1" applyAlignment="1" pivotButton="0" quotePrefix="0" xfId="0">
      <alignment horizontal="left" vertical="center" indent="1"/>
    </xf>
    <xf numFmtId="164" fontId="6" fillId="0" borderId="1" pivotButton="0" quotePrefix="0" xfId="0"/>
    <xf numFmtId="165" fontId="6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5" fontId="4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4" borderId="2" pivotButton="0" quotePrefix="0" xfId="0"/>
    <xf numFmtId="0" fontId="0" fillId="4" borderId="2" pivotButton="0" quotePrefix="0" xfId="0"/>
    <xf numFmtId="0" fontId="3" fillId="0" borderId="0" applyAlignment="1" pivotButton="0" quotePrefix="0" xfId="0">
      <alignment horizontal="left" vertical="center" indent="2"/>
    </xf>
    <xf numFmtId="0" fontId="5" fillId="0" borderId="0" applyAlignment="1" pivotButton="0" quotePrefix="0" xfId="0">
      <alignment horizontal="left" vertical="center" indent="2"/>
    </xf>
    <xf numFmtId="0" fontId="8" fillId="5" borderId="2" pivotButton="0" quotePrefix="0" xfId="0"/>
    <xf numFmtId="0" fontId="0" fillId="5" borderId="2" pivotButton="0" quotePrefix="0" xfId="0"/>
    <xf numFmtId="0" fontId="5" fillId="0" borderId="1" applyAlignment="1" pivotButton="0" quotePrefix="0" xfId="0">
      <alignment horizontal="left" vertical="center" indent="2"/>
    </xf>
    <xf numFmtId="166" fontId="6" fillId="0" borderId="0" pivotButton="0" quotePrefix="0" xfId="0"/>
    <xf numFmtId="0" fontId="8" fillId="6" borderId="2" pivotButton="0" quotePrefix="0" xfId="0"/>
    <xf numFmtId="0" fontId="0" fillId="6" borderId="2" pivotButton="0" quotePrefix="0" xfId="0"/>
    <xf numFmtId="0" fontId="9" fillId="0" borderId="0" pivotButton="0" quotePrefix="0" xfId="0"/>
    <xf numFmtId="0" fontId="8" fillId="5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6" fillId="0" borderId="0" pivotButton="0" quotePrefix="0" xfId="0"/>
    <xf numFmtId="167" fontId="4" fillId="0" borderId="0" pivotButton="0" quotePrefix="0" xfId="0"/>
    <xf numFmtId="167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LBO Model — Income Statement  ($mm)</t>
        </is>
      </c>
    </row>
    <row r="2" ht="18" customHeight="1">
      <c r="A2" s="2" t="inlineStr">
        <is>
          <t>Line Item</t>
        </is>
      </c>
      <c r="B2" s="3" t="inlineStr">
        <is>
          <t>FY2020</t>
        </is>
      </c>
      <c r="C2" s="3" t="inlineStr">
        <is>
          <t>FY2021</t>
        </is>
      </c>
      <c r="D2" s="3" t="inlineStr">
        <is>
          <t>FY2022</t>
        </is>
      </c>
      <c r="E2" s="3" t="inlineStr">
        <is>
          <t>FY2023</t>
        </is>
      </c>
      <c r="F2" s="3" t="inlineStr">
        <is>
          <t>FY2024</t>
        </is>
      </c>
      <c r="G2" s="3" t="inlineStr">
        <is>
          <t>FY2025</t>
        </is>
      </c>
    </row>
    <row r="4">
      <c r="A4" s="4" t="inlineStr">
        <is>
          <t>Revenue</t>
        </is>
      </c>
      <c r="B4" s="5" t="n"/>
      <c r="C4" s="5" t="n"/>
      <c r="D4" s="5" t="n"/>
      <c r="E4" s="5" t="n"/>
      <c r="F4" s="5" t="n"/>
      <c r="G4" s="5" t="n"/>
    </row>
    <row r="5">
      <c r="A5" s="4" t="inlineStr">
        <is>
          <t>Cost of Goods Sold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Gross Profit</t>
        </is>
      </c>
      <c r="B6" s="7">
        <f>B4-B5</f>
        <v/>
      </c>
      <c r="C6" s="7">
        <f>C4-C5</f>
        <v/>
      </c>
      <c r="D6" s="7">
        <f>D4-D5</f>
        <v/>
      </c>
      <c r="E6" s="7">
        <f>E4-E5</f>
        <v/>
      </c>
      <c r="F6" s="7">
        <f>F4-F5</f>
        <v/>
      </c>
      <c r="G6" s="7">
        <f>G4-G5</f>
        <v/>
      </c>
    </row>
    <row r="7">
      <c r="A7" s="4" t="inlineStr">
        <is>
          <t xml:space="preserve">  Gross Margin %</t>
        </is>
      </c>
      <c r="B7" s="8">
        <f>IFERROR(B6/B4,0)</f>
        <v/>
      </c>
      <c r="C7" s="8">
        <f>IFERROR(C6/C4,0)</f>
        <v/>
      </c>
      <c r="D7" s="8">
        <f>IFERROR(D6/D4,0)</f>
        <v/>
      </c>
      <c r="E7" s="8">
        <f>IFERROR(E6/E4,0)</f>
        <v/>
      </c>
      <c r="F7" s="8">
        <f>IFERROR(F6/F4,0)</f>
        <v/>
      </c>
      <c r="G7" s="8">
        <f>IFERROR(G6/G4,0)</f>
        <v/>
      </c>
    </row>
    <row r="9">
      <c r="A9" s="4" t="inlineStr">
        <is>
          <t>Selling, General &amp; Administrative</t>
        </is>
      </c>
      <c r="B9" s="5" t="n"/>
      <c r="C9" s="5" t="n"/>
      <c r="D9" s="5" t="n"/>
      <c r="E9" s="5" t="n"/>
      <c r="F9" s="5" t="n"/>
      <c r="G9" s="5" t="n"/>
    </row>
    <row r="10">
      <c r="A10" s="4" t="inlineStr">
        <is>
          <t>Research &amp; Development</t>
        </is>
      </c>
      <c r="B10" s="5" t="n"/>
      <c r="C10" s="5" t="n"/>
      <c r="D10" s="5" t="n"/>
      <c r="E10" s="5" t="n"/>
      <c r="F10" s="5" t="n"/>
      <c r="G10" s="5" t="n"/>
    </row>
    <row r="11">
      <c r="A11" s="4" t="inlineStr">
        <is>
          <t>Other Operating Expenses</t>
        </is>
      </c>
      <c r="B11" s="5" t="n"/>
      <c r="C11" s="5" t="n"/>
      <c r="D11" s="5" t="n"/>
      <c r="E11" s="5" t="n"/>
      <c r="F11" s="5" t="n"/>
      <c r="G11" s="5" t="n"/>
    </row>
    <row r="12">
      <c r="A12" s="4" t="inlineStr">
        <is>
          <t xml:space="preserve">  Total Operating Expenses</t>
        </is>
      </c>
      <c r="B12" s="9">
        <f>B9+B10+B11</f>
        <v/>
      </c>
      <c r="C12" s="9">
        <f>C9+C10+C11</f>
        <v/>
      </c>
      <c r="D12" s="9">
        <f>D9+D10+D11</f>
        <v/>
      </c>
      <c r="E12" s="9">
        <f>E9+E10+E11</f>
        <v/>
      </c>
      <c r="F12" s="9">
        <f>F9+F10+F11</f>
        <v/>
      </c>
      <c r="G12" s="9">
        <f>G9+G10+G11</f>
        <v/>
      </c>
    </row>
    <row r="14">
      <c r="A14" s="6" t="inlineStr">
        <is>
          <t>EBITDA</t>
        </is>
      </c>
      <c r="B14" s="7">
        <f>B6-B12</f>
        <v/>
      </c>
      <c r="C14" s="7">
        <f>C6-C12</f>
        <v/>
      </c>
      <c r="D14" s="7">
        <f>D6-D12</f>
        <v/>
      </c>
      <c r="E14" s="7">
        <f>E6-E12</f>
        <v/>
      </c>
      <c r="F14" s="7">
        <f>F6-F12</f>
        <v/>
      </c>
      <c r="G14" s="7">
        <f>G6-G12</f>
        <v/>
      </c>
    </row>
    <row r="15">
      <c r="A15" s="4" t="inlineStr">
        <is>
          <t xml:space="preserve">  EBITDA Margin %</t>
        </is>
      </c>
      <c r="B15" s="8">
        <f>IFERROR(B14/B4,0)</f>
        <v/>
      </c>
      <c r="C15" s="8">
        <f>IFERROR(C14/C4,0)</f>
        <v/>
      </c>
      <c r="D15" s="8">
        <f>IFERROR(D14/D4,0)</f>
        <v/>
      </c>
      <c r="E15" s="8">
        <f>IFERROR(E14/E4,0)</f>
        <v/>
      </c>
      <c r="F15" s="8">
        <f>IFERROR(F14/F4,0)</f>
        <v/>
      </c>
      <c r="G15" s="8">
        <f>IFERROR(G14/G4,0)</f>
        <v/>
      </c>
    </row>
    <row r="17">
      <c r="A17" s="4" t="inlineStr">
        <is>
          <t>Depreciation &amp; Amortization</t>
        </is>
      </c>
      <c r="B17" s="5" t="n"/>
      <c r="C17" s="5" t="n"/>
      <c r="D17" s="5" t="n"/>
      <c r="E17" s="5" t="n"/>
      <c r="F17" s="5" t="n"/>
      <c r="G17" s="5" t="n"/>
    </row>
    <row r="18">
      <c r="A18" s="6" t="inlineStr">
        <is>
          <t>EBIT (Operating Income)</t>
        </is>
      </c>
      <c r="B18" s="7">
        <f>B14-B17</f>
        <v/>
      </c>
      <c r="C18" s="7">
        <f>C14-C17</f>
        <v/>
      </c>
      <c r="D18" s="7">
        <f>D14-D17</f>
        <v/>
      </c>
      <c r="E18" s="7">
        <f>E14-E17</f>
        <v/>
      </c>
      <c r="F18" s="7">
        <f>F14-F17</f>
        <v/>
      </c>
      <c r="G18" s="7">
        <f>G14-G17</f>
        <v/>
      </c>
    </row>
    <row r="19">
      <c r="A19" s="4" t="inlineStr">
        <is>
          <t xml:space="preserve">  EBIT Margin %</t>
        </is>
      </c>
      <c r="B19" s="8">
        <f>IFERROR(B18/B4,0)</f>
        <v/>
      </c>
      <c r="C19" s="8">
        <f>IFERROR(C18/C4,0)</f>
        <v/>
      </c>
      <c r="D19" s="8">
        <f>IFERROR(D18/D4,0)</f>
        <v/>
      </c>
      <c r="E19" s="8">
        <f>IFERROR(E18/E4,0)</f>
        <v/>
      </c>
      <c r="F19" s="8">
        <f>IFERROR(F18/F4,0)</f>
        <v/>
      </c>
      <c r="G19" s="8">
        <f>IFERROR(G18/G4,0)</f>
        <v/>
      </c>
    </row>
    <row r="21">
      <c r="A21" s="4" t="inlineStr">
        <is>
          <t>Interest Expense — Senior Debt</t>
        </is>
      </c>
      <c r="B21" s="10">
        <f>'Debt Schedule'!B13</f>
        <v/>
      </c>
      <c r="C21" s="10">
        <f>'Debt Schedule'!C13</f>
        <v/>
      </c>
      <c r="D21" s="10">
        <f>'Debt Schedule'!D13</f>
        <v/>
      </c>
      <c r="E21" s="10">
        <f>'Debt Schedule'!E13</f>
        <v/>
      </c>
      <c r="F21" s="10">
        <f>'Debt Schedule'!F13</f>
        <v/>
      </c>
      <c r="G21" s="10">
        <f>'Debt Schedule'!G13</f>
        <v/>
      </c>
    </row>
    <row r="22">
      <c r="A22" s="4" t="inlineStr">
        <is>
          <t>Interest Expense — Mezzanine</t>
        </is>
      </c>
      <c r="B22" s="10">
        <f>'Debt Schedule'!B24</f>
        <v/>
      </c>
      <c r="C22" s="10">
        <f>'Debt Schedule'!C24</f>
        <v/>
      </c>
      <c r="D22" s="10">
        <f>'Debt Schedule'!D24</f>
        <v/>
      </c>
      <c r="E22" s="10">
        <f>'Debt Schedule'!E24</f>
        <v/>
      </c>
      <c r="F22" s="10">
        <f>'Debt Schedule'!F24</f>
        <v/>
      </c>
      <c r="G22" s="10">
        <f>'Debt Schedule'!G24</f>
        <v/>
      </c>
    </row>
    <row r="23">
      <c r="A23" s="4" t="inlineStr">
        <is>
          <t xml:space="preserve">  Total Interest Expense</t>
        </is>
      </c>
      <c r="B23" s="9">
        <f>B21+B22</f>
        <v/>
      </c>
      <c r="C23" s="9">
        <f>C21+C22</f>
        <v/>
      </c>
      <c r="D23" s="9">
        <f>D21+D22</f>
        <v/>
      </c>
      <c r="E23" s="9">
        <f>E21+E22</f>
        <v/>
      </c>
      <c r="F23" s="9">
        <f>F21+F22</f>
        <v/>
      </c>
      <c r="G23" s="9">
        <f>G21+G22</f>
        <v/>
      </c>
    </row>
    <row r="25">
      <c r="A25" s="6" t="inlineStr">
        <is>
          <t>Earnings Before Tax</t>
        </is>
      </c>
      <c r="B25" s="7">
        <f>B18-B23</f>
        <v/>
      </c>
      <c r="C25" s="7">
        <f>C18-C23</f>
        <v/>
      </c>
      <c r="D25" s="7">
        <f>D18-D23</f>
        <v/>
      </c>
      <c r="E25" s="7">
        <f>E18-E23</f>
        <v/>
      </c>
      <c r="F25" s="7">
        <f>F18-F23</f>
        <v/>
      </c>
      <c r="G25" s="7">
        <f>G18-G23</f>
        <v/>
      </c>
    </row>
    <row r="26">
      <c r="A26" s="4" t="inlineStr">
        <is>
          <t>Effective Tax Rate</t>
        </is>
      </c>
      <c r="B26" s="11" t="n"/>
      <c r="C26" s="11" t="n"/>
      <c r="D26" s="11" t="n"/>
      <c r="E26" s="11" t="n"/>
      <c r="F26" s="11" t="n"/>
      <c r="G26" s="11" t="n"/>
    </row>
    <row r="27">
      <c r="A27" s="4" t="inlineStr">
        <is>
          <t>Income Tax Expense</t>
        </is>
      </c>
      <c r="B27" s="9">
        <f>MAX(B25*B26,0)</f>
        <v/>
      </c>
      <c r="C27" s="9">
        <f>MAX(C25*C26,0)</f>
        <v/>
      </c>
      <c r="D27" s="9">
        <f>MAX(D25*D26,0)</f>
        <v/>
      </c>
      <c r="E27" s="9">
        <f>MAX(E25*E26,0)</f>
        <v/>
      </c>
      <c r="F27" s="9">
        <f>MAX(F25*F26,0)</f>
        <v/>
      </c>
      <c r="G27" s="9">
        <f>MAX(G25*G26,0)</f>
        <v/>
      </c>
    </row>
    <row r="29">
      <c r="A29" s="6" t="inlineStr">
        <is>
          <t>Net Income</t>
        </is>
      </c>
      <c r="B29" s="7">
        <f>B25-B27</f>
        <v/>
      </c>
      <c r="C29" s="7">
        <f>C25-C27</f>
        <v/>
      </c>
      <c r="D29" s="7">
        <f>D25-D27</f>
        <v/>
      </c>
      <c r="E29" s="7">
        <f>E25-E27</f>
        <v/>
      </c>
      <c r="F29" s="7">
        <f>F25-F27</f>
        <v/>
      </c>
      <c r="G29" s="7">
        <f>G25-G27</f>
        <v/>
      </c>
    </row>
    <row r="30">
      <c r="A30" s="4" t="inlineStr">
        <is>
          <t xml:space="preserve">  Net Margin %</t>
        </is>
      </c>
      <c r="B30" s="8">
        <f>IFERROR(B29/B4,0)</f>
        <v/>
      </c>
      <c r="C30" s="8">
        <f>IFERROR(C29/C4,0)</f>
        <v/>
      </c>
      <c r="D30" s="8">
        <f>IFERROR(D29/D4,0)</f>
        <v/>
      </c>
      <c r="E30" s="8">
        <f>IFERROR(E29/E4,0)</f>
        <v/>
      </c>
      <c r="F30" s="8">
        <f>IFERROR(F29/F4,0)</f>
        <v/>
      </c>
      <c r="G30" s="8">
        <f>IFERROR(G29/G4,0)</f>
        <v/>
      </c>
    </row>
    <row r="33">
      <c r="A33" s="12" t="inlineStr">
        <is>
          <t>Formatting Guide</t>
        </is>
      </c>
    </row>
    <row r="34">
      <c r="A34" s="13" t="inlineStr">
        <is>
          <t xml:space="preserve">  Blue text</t>
        </is>
      </c>
      <c r="B34" s="14">
        <f> Hardcoded input (user fills in)</f>
        <v/>
      </c>
    </row>
    <row r="35">
      <c r="A35" s="15" t="inlineStr">
        <is>
          <t xml:space="preserve">  Black text</t>
        </is>
      </c>
      <c r="B35" s="14">
        <f> Formula (auto-calculated)</f>
        <v/>
      </c>
    </row>
    <row r="36">
      <c r="A36" s="16" t="inlineStr">
        <is>
          <t xml:space="preserve">  Green text</t>
        </is>
      </c>
      <c r="B36" s="14">
        <f> Cross-sheet link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LBO Model — Debt Schedule  ($mm)</t>
        </is>
      </c>
    </row>
    <row r="2" ht="18" customHeight="1">
      <c r="A2" s="2" t="inlineStr">
        <is>
          <t>Line Item</t>
        </is>
      </c>
      <c r="B2" s="3" t="inlineStr">
        <is>
          <t>FY2020</t>
        </is>
      </c>
      <c r="C2" s="3" t="inlineStr">
        <is>
          <t>FY2021</t>
        </is>
      </c>
      <c r="D2" s="3" t="inlineStr">
        <is>
          <t>FY2022</t>
        </is>
      </c>
      <c r="E2" s="3" t="inlineStr">
        <is>
          <t>FY2023</t>
        </is>
      </c>
      <c r="F2" s="3" t="inlineStr">
        <is>
          <t>FY2024</t>
        </is>
      </c>
      <c r="G2" s="3" t="inlineStr">
        <is>
          <t>FY2025</t>
        </is>
      </c>
    </row>
    <row r="4" ht="16" customHeight="1">
      <c r="A4" s="17" t="inlineStr">
        <is>
          <t>SENIOR SECURED DEBT</t>
        </is>
      </c>
      <c r="B4" s="18" t="n"/>
      <c r="C4" s="18" t="n"/>
      <c r="D4" s="18" t="n"/>
      <c r="E4" s="18" t="n"/>
      <c r="F4" s="18" t="n"/>
      <c r="G4" s="18" t="n"/>
    </row>
    <row r="5">
      <c r="A5" s="19" t="inlineStr">
        <is>
          <t>Beginning Balance</t>
        </is>
      </c>
      <c r="B5" s="5" t="n"/>
      <c r="C5" s="10">
        <f>'Debt Schedule'!B9</f>
        <v/>
      </c>
      <c r="D5" s="10">
        <f>'Debt Schedule'!C9</f>
        <v/>
      </c>
      <c r="E5" s="10">
        <f>'Debt Schedule'!D9</f>
        <v/>
      </c>
      <c r="F5" s="10">
        <f>'Debt Schedule'!E9</f>
        <v/>
      </c>
      <c r="G5" s="10">
        <f>'Debt Schedule'!F9</f>
        <v/>
      </c>
    </row>
    <row r="6">
      <c r="A6" s="19" t="inlineStr">
        <is>
          <t>Add: Drawdowns &amp; Fundings</t>
        </is>
      </c>
      <c r="B6" s="5" t="n"/>
      <c r="C6" s="5" t="n"/>
      <c r="D6" s="5" t="n"/>
      <c r="E6" s="5" t="n"/>
      <c r="F6" s="5" t="n"/>
      <c r="G6" s="5" t="n"/>
    </row>
    <row r="7">
      <c r="A7" s="19" t="inlineStr">
        <is>
          <t>Less: Scheduled Repayments</t>
        </is>
      </c>
      <c r="B7" s="5" t="n"/>
      <c r="C7" s="5" t="n"/>
      <c r="D7" s="5" t="n"/>
      <c r="E7" s="5" t="n"/>
      <c r="F7" s="5" t="n"/>
      <c r="G7" s="5" t="n"/>
    </row>
    <row r="9">
      <c r="A9" s="20" t="inlineStr">
        <is>
          <t>Ending Balance</t>
        </is>
      </c>
      <c r="B9" s="9">
        <f>B5+B6-B7</f>
        <v/>
      </c>
      <c r="C9" s="9">
        <f>C5+C6-C7</f>
        <v/>
      </c>
      <c r="D9" s="9">
        <f>D5+D6-D7</f>
        <v/>
      </c>
      <c r="E9" s="9">
        <f>E5+E6-E7</f>
        <v/>
      </c>
      <c r="F9" s="9">
        <f>F5+F6-F7</f>
        <v/>
      </c>
      <c r="G9" s="9">
        <f>G5+G6-G7</f>
        <v/>
      </c>
    </row>
    <row r="11">
      <c r="A11" s="19" t="inlineStr">
        <is>
          <t>Annual Interest Rate (PIK %)</t>
        </is>
      </c>
      <c r="B11" s="11" t="n"/>
      <c r="C11" s="11" t="n"/>
      <c r="D11" s="11" t="n"/>
      <c r="E11" s="11" t="n"/>
      <c r="F11" s="11" t="n"/>
      <c r="G11" s="11" t="n"/>
    </row>
    <row r="12">
      <c r="A12" s="19" t="inlineStr">
        <is>
          <t>Average Balance</t>
        </is>
      </c>
      <c r="B12" s="9">
        <f>(B5+B9)/2</f>
        <v/>
      </c>
      <c r="C12" s="9">
        <f>(C5+C9)/2</f>
        <v/>
      </c>
      <c r="D12" s="9">
        <f>(D5+D9)/2</f>
        <v/>
      </c>
      <c r="E12" s="9">
        <f>(E5+E9)/2</f>
        <v/>
      </c>
      <c r="F12" s="9">
        <f>(F5+F9)/2</f>
        <v/>
      </c>
      <c r="G12" s="9">
        <f>(G5+G9)/2</f>
        <v/>
      </c>
    </row>
    <row r="13">
      <c r="A13" s="20" t="inlineStr">
        <is>
          <t>Cash Interest Expense</t>
        </is>
      </c>
      <c r="B13" s="9">
        <f>B12*B11</f>
        <v/>
      </c>
      <c r="C13" s="9">
        <f>C12*C11</f>
        <v/>
      </c>
      <c r="D13" s="9">
        <f>D12*D11</f>
        <v/>
      </c>
      <c r="E13" s="9">
        <f>E12*E11</f>
        <v/>
      </c>
      <c r="F13" s="9">
        <f>F12*F11</f>
        <v/>
      </c>
      <c r="G13" s="9">
        <f>G12*G11</f>
        <v/>
      </c>
    </row>
    <row r="15" ht="16" customHeight="1">
      <c r="A15" s="17" t="inlineStr">
        <is>
          <t>MEZZANINE / PIK DEBT</t>
        </is>
      </c>
      <c r="B15" s="18" t="n"/>
      <c r="C15" s="18" t="n"/>
      <c r="D15" s="18" t="n"/>
      <c r="E15" s="18" t="n"/>
      <c r="F15" s="18" t="n"/>
      <c r="G15" s="18" t="n"/>
    </row>
    <row r="16">
      <c r="A16" s="19" t="inlineStr">
        <is>
          <t>Beginning Balance</t>
        </is>
      </c>
      <c r="B16" s="5" t="n"/>
      <c r="C16" s="10">
        <f>'Debt Schedule'!B20</f>
        <v/>
      </c>
      <c r="D16" s="10">
        <f>'Debt Schedule'!C20</f>
        <v/>
      </c>
      <c r="E16" s="10">
        <f>'Debt Schedule'!D20</f>
        <v/>
      </c>
      <c r="F16" s="10">
        <f>'Debt Schedule'!E20</f>
        <v/>
      </c>
      <c r="G16" s="10">
        <f>'Debt Schedule'!F20</f>
        <v/>
      </c>
    </row>
    <row r="17">
      <c r="A17" s="19" t="inlineStr">
        <is>
          <t>Add: Drawdowns &amp; Fundings</t>
        </is>
      </c>
      <c r="B17" s="5" t="n"/>
      <c r="C17" s="5" t="n"/>
      <c r="D17" s="5" t="n"/>
      <c r="E17" s="5" t="n"/>
      <c r="F17" s="5" t="n"/>
      <c r="G17" s="5" t="n"/>
    </row>
    <row r="18">
      <c r="A18" s="19" t="inlineStr">
        <is>
          <t>Less: Scheduled Repayments</t>
        </is>
      </c>
      <c r="B18" s="5" t="n"/>
      <c r="C18" s="5" t="n"/>
      <c r="D18" s="5" t="n"/>
      <c r="E18" s="5" t="n"/>
      <c r="F18" s="5" t="n"/>
      <c r="G18" s="5" t="n"/>
    </row>
    <row r="20">
      <c r="A20" s="20" t="inlineStr">
        <is>
          <t>Ending Balance</t>
        </is>
      </c>
      <c r="B20" s="9">
        <f>B16+B17-B18</f>
        <v/>
      </c>
      <c r="C20" s="9">
        <f>C16+C17-C18</f>
        <v/>
      </c>
      <c r="D20" s="9">
        <f>D16+D17-D18</f>
        <v/>
      </c>
      <c r="E20" s="9">
        <f>E16+E17-E18</f>
        <v/>
      </c>
      <c r="F20" s="9">
        <f>F16+F17-F18</f>
        <v/>
      </c>
      <c r="G20" s="9">
        <f>G16+G17-G18</f>
        <v/>
      </c>
    </row>
    <row r="22">
      <c r="A22" s="19" t="inlineStr">
        <is>
          <t>Annual Interest Rate (PIK %)</t>
        </is>
      </c>
      <c r="B22" s="11" t="n"/>
      <c r="C22" s="11" t="n"/>
      <c r="D22" s="11" t="n"/>
      <c r="E22" s="11" t="n"/>
      <c r="F22" s="11" t="n"/>
      <c r="G22" s="11" t="n"/>
    </row>
    <row r="23">
      <c r="A23" s="19" t="inlineStr">
        <is>
          <t>Average Balance</t>
        </is>
      </c>
      <c r="B23" s="9">
        <f>(B16+B20)/2</f>
        <v/>
      </c>
      <c r="C23" s="9">
        <f>(C16+C20)/2</f>
        <v/>
      </c>
      <c r="D23" s="9">
        <f>(D16+D20)/2</f>
        <v/>
      </c>
      <c r="E23" s="9">
        <f>(E16+E20)/2</f>
        <v/>
      </c>
      <c r="F23" s="9">
        <f>(F16+F20)/2</f>
        <v/>
      </c>
      <c r="G23" s="9">
        <f>(G16+G20)/2</f>
        <v/>
      </c>
    </row>
    <row r="24">
      <c r="A24" s="20" t="inlineStr">
        <is>
          <t>Cash Interest Expense</t>
        </is>
      </c>
      <c r="B24" s="9">
        <f>B23*B22</f>
        <v/>
      </c>
      <c r="C24" s="9">
        <f>C23*C22</f>
        <v/>
      </c>
      <c r="D24" s="9">
        <f>D23*D22</f>
        <v/>
      </c>
      <c r="E24" s="9">
        <f>E23*E22</f>
        <v/>
      </c>
      <c r="F24" s="9">
        <f>F23*F22</f>
        <v/>
      </c>
      <c r="G24" s="9">
        <f>G23*G22</f>
        <v/>
      </c>
    </row>
    <row r="26" ht="16" customHeight="1">
      <c r="A26" s="21" t="inlineStr">
        <is>
          <t>TOTAL DEBT SUMMARY</t>
        </is>
      </c>
      <c r="B26" s="22" t="n"/>
      <c r="C26" s="22" t="n"/>
      <c r="D26" s="22" t="n"/>
      <c r="E26" s="22" t="n"/>
      <c r="F26" s="22" t="n"/>
      <c r="G26" s="22" t="n"/>
    </row>
    <row r="27">
      <c r="A27" s="20" t="inlineStr">
        <is>
          <t>Total Cash Interest Expense</t>
        </is>
      </c>
      <c r="B27" s="9">
        <f>B13+B24</f>
        <v/>
      </c>
      <c r="C27" s="9">
        <f>C13+C24</f>
        <v/>
      </c>
      <c r="D27" s="9">
        <f>D13+D24</f>
        <v/>
      </c>
      <c r="E27" s="9">
        <f>E13+E24</f>
        <v/>
      </c>
      <c r="F27" s="9">
        <f>F13+F24</f>
        <v/>
      </c>
      <c r="G27" s="9">
        <f>G13+G24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LBO Model — Balance Sheet  ($mm)</t>
        </is>
      </c>
    </row>
    <row r="2" ht="18" customHeight="1">
      <c r="A2" s="2" t="inlineStr">
        <is>
          <t>Line Item</t>
        </is>
      </c>
      <c r="B2" s="3" t="inlineStr">
        <is>
          <t>FY2020</t>
        </is>
      </c>
      <c r="C2" s="3" t="inlineStr">
        <is>
          <t>FY2021</t>
        </is>
      </c>
      <c r="D2" s="3" t="inlineStr">
        <is>
          <t>FY2022</t>
        </is>
      </c>
      <c r="E2" s="3" t="inlineStr">
        <is>
          <t>FY2023</t>
        </is>
      </c>
      <c r="F2" s="3" t="inlineStr">
        <is>
          <t>FY2024</t>
        </is>
      </c>
      <c r="G2" s="3" t="inlineStr">
        <is>
          <t>FY2025</t>
        </is>
      </c>
    </row>
    <row r="4" ht="16" customHeight="1">
      <c r="A4" s="21" t="inlineStr">
        <is>
          <t>ASSETS</t>
        </is>
      </c>
      <c r="B4" s="22" t="n"/>
      <c r="C4" s="22" t="n"/>
      <c r="D4" s="22" t="n"/>
      <c r="E4" s="22" t="n"/>
      <c r="F4" s="22" t="n"/>
      <c r="G4" s="22" t="n"/>
    </row>
    <row r="5">
      <c r="A5" s="19" t="inlineStr">
        <is>
          <t>Cash &amp; Cash Equivalents</t>
        </is>
      </c>
      <c r="B5" s="10">
        <f>'Cash Flow Statement'!B32</f>
        <v/>
      </c>
      <c r="C5" s="10">
        <f>'Cash Flow Statement'!C32</f>
        <v/>
      </c>
      <c r="D5" s="10">
        <f>'Cash Flow Statement'!D32</f>
        <v/>
      </c>
      <c r="E5" s="10">
        <f>'Cash Flow Statement'!E32</f>
        <v/>
      </c>
      <c r="F5" s="10">
        <f>'Cash Flow Statement'!F32</f>
        <v/>
      </c>
      <c r="G5" s="10">
        <f>'Cash Flow Statement'!G32</f>
        <v/>
      </c>
    </row>
    <row r="6">
      <c r="A6" s="19" t="inlineStr">
        <is>
          <t>Accounts Receivable, Net</t>
        </is>
      </c>
      <c r="B6" s="5" t="n"/>
      <c r="C6" s="5" t="n"/>
      <c r="D6" s="5" t="n"/>
      <c r="E6" s="5" t="n"/>
      <c r="F6" s="5" t="n"/>
      <c r="G6" s="5" t="n"/>
    </row>
    <row r="7">
      <c r="A7" s="19" t="inlineStr">
        <is>
          <t>Inventory</t>
        </is>
      </c>
      <c r="B7" s="5" t="n"/>
      <c r="C7" s="5" t="n"/>
      <c r="D7" s="5" t="n"/>
      <c r="E7" s="5" t="n"/>
      <c r="F7" s="5" t="n"/>
      <c r="G7" s="5" t="n"/>
    </row>
    <row r="8">
      <c r="A8" s="19" t="inlineStr">
        <is>
          <t>Prepaid Expenses &amp; Other Current</t>
        </is>
      </c>
      <c r="B8" s="5" t="n"/>
      <c r="C8" s="5" t="n"/>
      <c r="D8" s="5" t="n"/>
      <c r="E8" s="5" t="n"/>
      <c r="F8" s="5" t="n"/>
      <c r="G8" s="5" t="n"/>
    </row>
    <row r="9">
      <c r="A9" s="23" t="inlineStr">
        <is>
          <t>Total Current Assets</t>
        </is>
      </c>
      <c r="B9" s="7">
        <f>SUM(B5:B8)</f>
        <v/>
      </c>
      <c r="C9" s="7">
        <f>SUM(C5:C8)</f>
        <v/>
      </c>
      <c r="D9" s="7">
        <f>SUM(D5:D8)</f>
        <v/>
      </c>
      <c r="E9" s="7">
        <f>SUM(E5:E8)</f>
        <v/>
      </c>
      <c r="F9" s="7">
        <f>SUM(F5:F8)</f>
        <v/>
      </c>
      <c r="G9" s="7">
        <f>SUM(G5:G8)</f>
        <v/>
      </c>
    </row>
    <row r="11">
      <c r="A11" s="19" t="inlineStr">
        <is>
          <t>Property, Plant &amp; Equipment, Gross</t>
        </is>
      </c>
      <c r="B11" s="5" t="n"/>
      <c r="C11" s="5" t="n"/>
      <c r="D11" s="5" t="n"/>
      <c r="E11" s="5" t="n"/>
      <c r="F11" s="5" t="n"/>
      <c r="G11" s="5" t="n"/>
    </row>
    <row r="12">
      <c r="A12" s="19" t="inlineStr">
        <is>
          <t>Less: Accumulated Depreciation</t>
        </is>
      </c>
      <c r="B12" s="5" t="n"/>
      <c r="C12" s="5" t="n"/>
      <c r="D12" s="5" t="n"/>
      <c r="E12" s="5" t="n"/>
      <c r="F12" s="5" t="n"/>
      <c r="G12" s="5" t="n"/>
    </row>
    <row r="13">
      <c r="A13" s="19" t="inlineStr">
        <is>
          <t>PP&amp;E, Net</t>
        </is>
      </c>
      <c r="B13" s="9">
        <f>B11-B12</f>
        <v/>
      </c>
      <c r="C13" s="9">
        <f>C11-C12</f>
        <v/>
      </c>
      <c r="D13" s="9">
        <f>D11-D12</f>
        <v/>
      </c>
      <c r="E13" s="9">
        <f>E11-E12</f>
        <v/>
      </c>
      <c r="F13" s="9">
        <f>F11-F12</f>
        <v/>
      </c>
      <c r="G13" s="9">
        <f>G11-G12</f>
        <v/>
      </c>
    </row>
    <row r="14">
      <c r="A14" s="19" t="inlineStr">
        <is>
          <t>Goodwill</t>
        </is>
      </c>
      <c r="B14" s="5" t="n"/>
      <c r="C14" s="5" t="n"/>
      <c r="D14" s="5" t="n"/>
      <c r="E14" s="5" t="n"/>
      <c r="F14" s="5" t="n"/>
      <c r="G14" s="5" t="n"/>
    </row>
    <row r="15">
      <c r="A15" s="19" t="inlineStr">
        <is>
          <t>Intangible Assets, Net</t>
        </is>
      </c>
      <c r="B15" s="5" t="n"/>
      <c r="C15" s="5" t="n"/>
      <c r="D15" s="5" t="n"/>
      <c r="E15" s="5" t="n"/>
      <c r="F15" s="5" t="n"/>
      <c r="G15" s="5" t="n"/>
    </row>
    <row r="16">
      <c r="A16" s="19" t="inlineStr">
        <is>
          <t>Deferred Tax Assets</t>
        </is>
      </c>
      <c r="B16" s="5" t="n"/>
      <c r="C16" s="5" t="n"/>
      <c r="D16" s="5" t="n"/>
      <c r="E16" s="5" t="n"/>
      <c r="F16" s="5" t="n"/>
      <c r="G16" s="5" t="n"/>
    </row>
    <row r="17">
      <c r="A17" s="19" t="inlineStr">
        <is>
          <t>Other Long-Term Assets</t>
        </is>
      </c>
      <c r="B17" s="5" t="n"/>
      <c r="C17" s="5" t="n"/>
      <c r="D17" s="5" t="n"/>
      <c r="E17" s="5" t="n"/>
      <c r="F17" s="5" t="n"/>
      <c r="G17" s="5" t="n"/>
    </row>
    <row r="18">
      <c r="A18" s="20" t="inlineStr">
        <is>
          <t>Total Non-Current Assets</t>
        </is>
      </c>
      <c r="B18" s="9">
        <f>B13+B14+B15+B16+B17</f>
        <v/>
      </c>
      <c r="C18" s="9">
        <f>C13+C14+C15+C16+C17</f>
        <v/>
      </c>
      <c r="D18" s="9">
        <f>D13+D14+D15+D16+D17</f>
        <v/>
      </c>
      <c r="E18" s="9">
        <f>E13+E14+E15+E16+E17</f>
        <v/>
      </c>
      <c r="F18" s="9">
        <f>F13+F14+F15+F16+F17</f>
        <v/>
      </c>
      <c r="G18" s="9">
        <f>G13+G14+G15+G16+G17</f>
        <v/>
      </c>
    </row>
    <row r="20">
      <c r="A20" s="23" t="inlineStr">
        <is>
          <t>TOTAL ASSETS</t>
        </is>
      </c>
      <c r="B20" s="7">
        <f>B9+B18</f>
        <v/>
      </c>
      <c r="C20" s="7">
        <f>C9+C18</f>
        <v/>
      </c>
      <c r="D20" s="7">
        <f>D9+D18</f>
        <v/>
      </c>
      <c r="E20" s="7">
        <f>E9+E18</f>
        <v/>
      </c>
      <c r="F20" s="7">
        <f>F9+F18</f>
        <v/>
      </c>
      <c r="G20" s="7">
        <f>G9+G18</f>
        <v/>
      </c>
    </row>
    <row r="22" ht="16" customHeight="1">
      <c r="A22" s="21" t="inlineStr">
        <is>
          <t>LIABILITIES</t>
        </is>
      </c>
      <c r="B22" s="22" t="n"/>
      <c r="C22" s="22" t="n"/>
      <c r="D22" s="22" t="n"/>
      <c r="E22" s="22" t="n"/>
      <c r="F22" s="22" t="n"/>
      <c r="G22" s="22" t="n"/>
    </row>
    <row r="23">
      <c r="A23" s="19" t="inlineStr">
        <is>
          <t>Accounts Payable</t>
        </is>
      </c>
      <c r="B23" s="5" t="n"/>
      <c r="C23" s="5" t="n"/>
      <c r="D23" s="5" t="n"/>
      <c r="E23" s="5" t="n"/>
      <c r="F23" s="5" t="n"/>
      <c r="G23" s="5" t="n"/>
    </row>
    <row r="24">
      <c r="A24" s="19" t="inlineStr">
        <is>
          <t>Accrued Liabilities &amp; Compensation</t>
        </is>
      </c>
      <c r="B24" s="5" t="n"/>
      <c r="C24" s="5" t="n"/>
      <c r="D24" s="5" t="n"/>
      <c r="E24" s="5" t="n"/>
      <c r="F24" s="5" t="n"/>
      <c r="G24" s="5" t="n"/>
    </row>
    <row r="25">
      <c r="A25" s="19" t="inlineStr">
        <is>
          <t>Deferred Revenue</t>
        </is>
      </c>
      <c r="B25" s="5" t="n"/>
      <c r="C25" s="5" t="n"/>
      <c r="D25" s="5" t="n"/>
      <c r="E25" s="5" t="n"/>
      <c r="F25" s="5" t="n"/>
      <c r="G25" s="5" t="n"/>
    </row>
    <row r="26">
      <c r="A26" s="19" t="inlineStr">
        <is>
          <t>Current Portion of Long-Term Debt</t>
        </is>
      </c>
      <c r="B26" s="10">
        <f>'Debt Schedule'!B7</f>
        <v/>
      </c>
      <c r="C26" s="10">
        <f>'Debt Schedule'!C7</f>
        <v/>
      </c>
      <c r="D26" s="10">
        <f>'Debt Schedule'!D7</f>
        <v/>
      </c>
      <c r="E26" s="10">
        <f>'Debt Schedule'!E7</f>
        <v/>
      </c>
      <c r="F26" s="10">
        <f>'Debt Schedule'!F7</f>
        <v/>
      </c>
      <c r="G26" s="10">
        <f>'Debt Schedule'!G7</f>
        <v/>
      </c>
    </row>
    <row r="27">
      <c r="A27" s="23" t="inlineStr">
        <is>
          <t>Total Current Liabilities</t>
        </is>
      </c>
      <c r="B27" s="7">
        <f>B23+B24+B25+B26</f>
        <v/>
      </c>
      <c r="C27" s="7">
        <f>C23+C24+C25+C26</f>
        <v/>
      </c>
      <c r="D27" s="7">
        <f>D23+D24+D25+D26</f>
        <v/>
      </c>
      <c r="E27" s="7">
        <f>E23+E24+E25+E26</f>
        <v/>
      </c>
      <c r="F27" s="7">
        <f>F23+F24+F25+F26</f>
        <v/>
      </c>
      <c r="G27" s="7">
        <f>G23+G24+G25+G26</f>
        <v/>
      </c>
    </row>
    <row r="29">
      <c r="A29" s="19" t="inlineStr">
        <is>
          <t>Senior Secured Debt (net of current)</t>
        </is>
      </c>
      <c r="B29" s="10">
        <f>'Debt Schedule'!B9</f>
        <v/>
      </c>
      <c r="C29" s="10">
        <f>'Debt Schedule'!C9</f>
        <v/>
      </c>
      <c r="D29" s="10">
        <f>'Debt Schedule'!D9</f>
        <v/>
      </c>
      <c r="E29" s="10">
        <f>'Debt Schedule'!E9</f>
        <v/>
      </c>
      <c r="F29" s="10">
        <f>'Debt Schedule'!F9</f>
        <v/>
      </c>
      <c r="G29" s="10">
        <f>'Debt Schedule'!G9</f>
        <v/>
      </c>
    </row>
    <row r="30">
      <c r="A30" s="19" t="inlineStr">
        <is>
          <t>Mezzanine / PIK Debt</t>
        </is>
      </c>
      <c r="B30" s="10">
        <f>'Debt Schedule'!B20</f>
        <v/>
      </c>
      <c r="C30" s="10">
        <f>'Debt Schedule'!C20</f>
        <v/>
      </c>
      <c r="D30" s="10">
        <f>'Debt Schedule'!D20</f>
        <v/>
      </c>
      <c r="E30" s="10">
        <f>'Debt Schedule'!E20</f>
        <v/>
      </c>
      <c r="F30" s="10">
        <f>'Debt Schedule'!F20</f>
        <v/>
      </c>
      <c r="G30" s="10">
        <f>'Debt Schedule'!G20</f>
        <v/>
      </c>
    </row>
    <row r="31">
      <c r="A31" s="20" t="inlineStr">
        <is>
          <t>Total Long-Term Debt</t>
        </is>
      </c>
      <c r="B31" s="9">
        <f>B29+B30</f>
        <v/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</row>
    <row r="32">
      <c r="A32" s="19" t="inlineStr">
        <is>
          <t>Deferred Tax Liabilities</t>
        </is>
      </c>
      <c r="B32" s="5" t="n"/>
      <c r="C32" s="5" t="n"/>
      <c r="D32" s="5" t="n"/>
      <c r="E32" s="5" t="n"/>
      <c r="F32" s="5" t="n"/>
      <c r="G32" s="5" t="n"/>
    </row>
    <row r="33">
      <c r="A33" s="19" t="inlineStr">
        <is>
          <t>Other Long-Term Liabilities</t>
        </is>
      </c>
      <c r="B33" s="5" t="n"/>
      <c r="C33" s="5" t="n"/>
      <c r="D33" s="5" t="n"/>
      <c r="E33" s="5" t="n"/>
      <c r="F33" s="5" t="n"/>
      <c r="G33" s="5" t="n"/>
    </row>
    <row r="34">
      <c r="A34" s="20" t="inlineStr">
        <is>
          <t>Total Non-Current Liabilities</t>
        </is>
      </c>
      <c r="B34" s="9">
        <f>B31+B32+B33</f>
        <v/>
      </c>
      <c r="C34" s="9">
        <f>C31+C32+C33</f>
        <v/>
      </c>
      <c r="D34" s="9">
        <f>D31+D32+D33</f>
        <v/>
      </c>
      <c r="E34" s="9">
        <f>E31+E32+E33</f>
        <v/>
      </c>
      <c r="F34" s="9">
        <f>F31+F32+F33</f>
        <v/>
      </c>
      <c r="G34" s="9">
        <f>G31+G32+G33</f>
        <v/>
      </c>
    </row>
    <row r="36">
      <c r="A36" s="23" t="inlineStr">
        <is>
          <t>TOTAL LIABILITIES</t>
        </is>
      </c>
      <c r="B36" s="7">
        <f>B27+B34</f>
        <v/>
      </c>
      <c r="C36" s="7">
        <f>C27+C34</f>
        <v/>
      </c>
      <c r="D36" s="7">
        <f>D27+D34</f>
        <v/>
      </c>
      <c r="E36" s="7">
        <f>E27+E34</f>
        <v/>
      </c>
      <c r="F36" s="7">
        <f>F27+F34</f>
        <v/>
      </c>
      <c r="G36" s="7">
        <f>G27+G34</f>
        <v/>
      </c>
    </row>
    <row r="38" ht="16" customHeight="1">
      <c r="A38" s="21" t="inlineStr">
        <is>
          <t>SHAREHOLDERS' EQUITY</t>
        </is>
      </c>
      <c r="B38" s="22" t="n"/>
      <c r="C38" s="22" t="n"/>
      <c r="D38" s="22" t="n"/>
      <c r="E38" s="22" t="n"/>
      <c r="F38" s="22" t="n"/>
      <c r="G38" s="22" t="n"/>
    </row>
    <row r="39">
      <c r="A39" s="19" t="inlineStr">
        <is>
          <t>Common Stock &amp; Additional Paid-In Capital</t>
        </is>
      </c>
      <c r="B39" s="5" t="n"/>
      <c r="C39" s="5" t="n"/>
      <c r="D39" s="5" t="n"/>
      <c r="E39" s="5" t="n"/>
      <c r="F39" s="5" t="n"/>
      <c r="G39" s="5" t="n"/>
    </row>
    <row r="40">
      <c r="A40" s="19" t="inlineStr">
        <is>
          <t>Retained Earnings / (Accumulated Deficit)</t>
        </is>
      </c>
      <c r="B40" s="5" t="n"/>
      <c r="C40" s="10">
        <f>B40+'Income Statement'!C29</f>
        <v/>
      </c>
      <c r="D40" s="10">
        <f>C40+'Income Statement'!D29</f>
        <v/>
      </c>
      <c r="E40" s="10">
        <f>D40+'Income Statement'!E29</f>
        <v/>
      </c>
      <c r="F40" s="10">
        <f>E40+'Income Statement'!F29</f>
        <v/>
      </c>
      <c r="G40" s="10">
        <f>F40+'Income Statement'!G29</f>
        <v/>
      </c>
    </row>
    <row r="41">
      <c r="A41" s="19" t="inlineStr">
        <is>
          <t>Accumulated Other Comprehensive Income (Loss)</t>
        </is>
      </c>
      <c r="B41" s="5" t="n"/>
      <c r="C41" s="5" t="n"/>
      <c r="D41" s="5" t="n"/>
      <c r="E41" s="5" t="n"/>
      <c r="F41" s="5" t="n"/>
      <c r="G41" s="5" t="n"/>
    </row>
    <row r="42">
      <c r="A42" s="23" t="inlineStr">
        <is>
          <t>Total Shareholders' Equity</t>
        </is>
      </c>
      <c r="B42" s="7">
        <f>B39+B40+B41</f>
        <v/>
      </c>
      <c r="C42" s="7">
        <f>C39+C40+C41</f>
        <v/>
      </c>
      <c r="D42" s="7">
        <f>D39+D40+D41</f>
        <v/>
      </c>
      <c r="E42" s="7">
        <f>E39+E40+E41</f>
        <v/>
      </c>
      <c r="F42" s="7">
        <f>F39+F40+F41</f>
        <v/>
      </c>
      <c r="G42" s="7">
        <f>G39+G40+G41</f>
        <v/>
      </c>
    </row>
    <row r="44">
      <c r="A44" s="23" t="inlineStr">
        <is>
          <t>TOTAL LIABILITIES + EQUITY</t>
        </is>
      </c>
      <c r="B44" s="7">
        <f>B36+B42</f>
        <v/>
      </c>
      <c r="C44" s="7">
        <f>C36+C42</f>
        <v/>
      </c>
      <c r="D44" s="7">
        <f>D36+D42</f>
        <v/>
      </c>
      <c r="E44" s="7">
        <f>E36+E42</f>
        <v/>
      </c>
      <c r="F44" s="7">
        <f>F36+F42</f>
        <v/>
      </c>
      <c r="G44" s="7">
        <f>G36+G42</f>
        <v/>
      </c>
    </row>
    <row r="45">
      <c r="A45" s="19" t="inlineStr">
        <is>
          <t>Balance Sheet Check  (must = 0)</t>
        </is>
      </c>
      <c r="B45" s="24">
        <f>B20-B44</f>
        <v/>
      </c>
      <c r="C45" s="24">
        <f>C20-C44</f>
        <v/>
      </c>
      <c r="D45" s="24">
        <f>D20-D44</f>
        <v/>
      </c>
      <c r="E45" s="24">
        <f>E20-E44</f>
        <v/>
      </c>
      <c r="F45" s="24">
        <f>F20-F44</f>
        <v/>
      </c>
      <c r="G45" s="24">
        <f>G20-G44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LBO Model — Cash Flow Statement  ($mm, Indirect Method)</t>
        </is>
      </c>
    </row>
    <row r="2" ht="18" customHeight="1">
      <c r="A2" s="2" t="inlineStr">
        <is>
          <t>Line Item</t>
        </is>
      </c>
      <c r="B2" s="3" t="inlineStr">
        <is>
          <t>FY2020</t>
        </is>
      </c>
      <c r="C2" s="3" t="inlineStr">
        <is>
          <t>FY2021</t>
        </is>
      </c>
      <c r="D2" s="3" t="inlineStr">
        <is>
          <t>FY2022</t>
        </is>
      </c>
      <c r="E2" s="3" t="inlineStr">
        <is>
          <t>FY2023</t>
        </is>
      </c>
      <c r="F2" s="3" t="inlineStr">
        <is>
          <t>FY2024</t>
        </is>
      </c>
      <c r="G2" s="3" t="inlineStr">
        <is>
          <t>FY2025</t>
        </is>
      </c>
    </row>
    <row r="4" ht="16" customHeight="1">
      <c r="A4" s="21" t="inlineStr">
        <is>
          <t>OPERATING ACTIVITIES</t>
        </is>
      </c>
      <c r="B4" s="22" t="n"/>
      <c r="C4" s="22" t="n"/>
      <c r="D4" s="22" t="n"/>
      <c r="E4" s="22" t="n"/>
      <c r="F4" s="22" t="n"/>
      <c r="G4" s="22" t="n"/>
    </row>
    <row r="5">
      <c r="A5" s="4" t="inlineStr">
        <is>
          <t>Net Income</t>
        </is>
      </c>
      <c r="B5" s="10">
        <f>'Income Statement'!B29</f>
        <v/>
      </c>
      <c r="C5" s="10">
        <f>'Income Statement'!C29</f>
        <v/>
      </c>
      <c r="D5" s="10">
        <f>'Income Statement'!D29</f>
        <v/>
      </c>
      <c r="E5" s="10">
        <f>'Income Statement'!E29</f>
        <v/>
      </c>
      <c r="F5" s="10">
        <f>'Income Statement'!F29</f>
        <v/>
      </c>
      <c r="G5" s="10">
        <f>'Income Statement'!G29</f>
        <v/>
      </c>
    </row>
    <row r="6">
      <c r="A6" s="4" t="inlineStr">
        <is>
          <t>Add: Depreciation &amp; Amortization</t>
        </is>
      </c>
      <c r="B6" s="10">
        <f>'Income Statement'!B17</f>
        <v/>
      </c>
      <c r="C6" s="10">
        <f>'Income Statement'!C17</f>
        <v/>
      </c>
      <c r="D6" s="10">
        <f>'Income Statement'!D17</f>
        <v/>
      </c>
      <c r="E6" s="10">
        <f>'Income Statement'!E17</f>
        <v/>
      </c>
      <c r="F6" s="10">
        <f>'Income Statement'!F17</f>
        <v/>
      </c>
      <c r="G6" s="10">
        <f>'Income Statement'!G17</f>
        <v/>
      </c>
    </row>
    <row r="8" ht="16" customHeight="1">
      <c r="A8" s="25" t="inlineStr">
        <is>
          <t>Changes in Working Capital</t>
        </is>
      </c>
      <c r="B8" s="26" t="n"/>
      <c r="C8" s="26" t="n"/>
      <c r="D8" s="26" t="n"/>
      <c r="E8" s="26" t="n"/>
      <c r="F8" s="26" t="n"/>
      <c r="G8" s="26" t="n"/>
    </row>
    <row r="9">
      <c r="A9" s="4" t="inlineStr">
        <is>
          <t xml:space="preserve">  (Increase) / Decrease in Accounts Receivable</t>
        </is>
      </c>
      <c r="B9" s="9">
        <f>0</f>
        <v/>
      </c>
      <c r="C9" s="10">
        <f>'Balance Sheet'!B6-'Balance Sheet'!C6</f>
        <v/>
      </c>
      <c r="D9" s="10">
        <f>'Balance Sheet'!C6-'Balance Sheet'!D6</f>
        <v/>
      </c>
      <c r="E9" s="10">
        <f>'Balance Sheet'!D6-'Balance Sheet'!E6</f>
        <v/>
      </c>
      <c r="F9" s="10">
        <f>'Balance Sheet'!E6-'Balance Sheet'!F6</f>
        <v/>
      </c>
      <c r="G9" s="10">
        <f>'Balance Sheet'!F6-'Balance Sheet'!G6</f>
        <v/>
      </c>
    </row>
    <row r="10">
      <c r="A10" s="4" t="inlineStr">
        <is>
          <t xml:space="preserve">  (Increase) / Decrease in Inventory</t>
        </is>
      </c>
      <c r="B10" s="9">
        <f>0</f>
        <v/>
      </c>
      <c r="C10" s="10">
        <f>'Balance Sheet'!B7-'Balance Sheet'!C7</f>
        <v/>
      </c>
      <c r="D10" s="10">
        <f>'Balance Sheet'!C7-'Balance Sheet'!D7</f>
        <v/>
      </c>
      <c r="E10" s="10">
        <f>'Balance Sheet'!D7-'Balance Sheet'!E7</f>
        <v/>
      </c>
      <c r="F10" s="10">
        <f>'Balance Sheet'!E7-'Balance Sheet'!F7</f>
        <v/>
      </c>
      <c r="G10" s="10">
        <f>'Balance Sheet'!F7-'Balance Sheet'!G7</f>
        <v/>
      </c>
    </row>
    <row r="11">
      <c r="A11" s="4" t="inlineStr">
        <is>
          <t xml:space="preserve">  Increase / (Decrease) in Accounts Payable</t>
        </is>
      </c>
      <c r="B11" s="9">
        <f>0</f>
        <v/>
      </c>
      <c r="C11" s="10">
        <f>'Balance Sheet'!C23-'Balance Sheet'!B23</f>
        <v/>
      </c>
      <c r="D11" s="10">
        <f>'Balance Sheet'!D23-'Balance Sheet'!C23</f>
        <v/>
      </c>
      <c r="E11" s="10">
        <f>'Balance Sheet'!E23-'Balance Sheet'!D23</f>
        <v/>
      </c>
      <c r="F11" s="10">
        <f>'Balance Sheet'!F23-'Balance Sheet'!E23</f>
        <v/>
      </c>
      <c r="G11" s="10">
        <f>'Balance Sheet'!G23-'Balance Sheet'!F23</f>
        <v/>
      </c>
    </row>
    <row r="12">
      <c r="A12" s="4" t="inlineStr">
        <is>
          <t xml:space="preserve">  Increase / (Decrease) in Accrued Liabilities</t>
        </is>
      </c>
      <c r="B12" s="9">
        <f>0</f>
        <v/>
      </c>
      <c r="C12" s="10">
        <f>'Balance Sheet'!C24-'Balance Sheet'!B24</f>
        <v/>
      </c>
      <c r="D12" s="10">
        <f>'Balance Sheet'!D24-'Balance Sheet'!C24</f>
        <v/>
      </c>
      <c r="E12" s="10">
        <f>'Balance Sheet'!E24-'Balance Sheet'!D24</f>
        <v/>
      </c>
      <c r="F12" s="10">
        <f>'Balance Sheet'!F24-'Balance Sheet'!E24</f>
        <v/>
      </c>
      <c r="G12" s="10">
        <f>'Balance Sheet'!G24-'Balance Sheet'!F24</f>
        <v/>
      </c>
    </row>
    <row r="13">
      <c r="A13" s="4" t="inlineStr">
        <is>
          <t xml:space="preserve">  Increase / (Decrease) in Deferred Revenue</t>
        </is>
      </c>
      <c r="B13" s="9">
        <f>0</f>
        <v/>
      </c>
      <c r="C13" s="10">
        <f>'Balance Sheet'!C25-'Balance Sheet'!B25</f>
        <v/>
      </c>
      <c r="D13" s="10">
        <f>'Balance Sheet'!D25-'Balance Sheet'!C25</f>
        <v/>
      </c>
      <c r="E13" s="10">
        <f>'Balance Sheet'!E25-'Balance Sheet'!D25</f>
        <v/>
      </c>
      <c r="F13" s="10">
        <f>'Balance Sheet'!F25-'Balance Sheet'!E25</f>
        <v/>
      </c>
      <c r="G13" s="10">
        <f>'Balance Sheet'!G25-'Balance Sheet'!F25</f>
        <v/>
      </c>
    </row>
    <row r="14">
      <c r="A14" s="4" t="inlineStr">
        <is>
          <t>Net Change in Working Capital</t>
        </is>
      </c>
      <c r="B14" s="9">
        <f>SUM(B9:B13)</f>
        <v/>
      </c>
      <c r="C14" s="9">
        <f>SUM(C9:C13)</f>
        <v/>
      </c>
      <c r="D14" s="9">
        <f>SUM(D9:D13)</f>
        <v/>
      </c>
      <c r="E14" s="9">
        <f>SUM(E9:E13)</f>
        <v/>
      </c>
      <c r="F14" s="9">
        <f>SUM(F9:F13)</f>
        <v/>
      </c>
      <c r="G14" s="9">
        <f>SUM(G9:G13)</f>
        <v/>
      </c>
    </row>
    <row r="16">
      <c r="A16" s="6" t="inlineStr">
        <is>
          <t>Net Cash from Operating Activities</t>
        </is>
      </c>
      <c r="B16" s="7">
        <f>B5+B6+B14</f>
        <v/>
      </c>
      <c r="C16" s="7">
        <f>C5+C6+C14</f>
        <v/>
      </c>
      <c r="D16" s="7">
        <f>D5+D6+D14</f>
        <v/>
      </c>
      <c r="E16" s="7">
        <f>E5+E6+E14</f>
        <v/>
      </c>
      <c r="F16" s="7">
        <f>F5+F6+F14</f>
        <v/>
      </c>
      <c r="G16" s="7">
        <f>G5+G6+G14</f>
        <v/>
      </c>
    </row>
    <row r="18" ht="16" customHeight="1">
      <c r="A18" s="21" t="inlineStr">
        <is>
          <t>INVESTING ACTIVITIES</t>
        </is>
      </c>
      <c r="B18" s="22" t="n"/>
      <c r="C18" s="22" t="n"/>
      <c r="D18" s="22" t="n"/>
      <c r="E18" s="22" t="n"/>
      <c r="F18" s="22" t="n"/>
      <c r="G18" s="22" t="n"/>
    </row>
    <row r="19">
      <c r="A19" s="4" t="inlineStr">
        <is>
          <t>Capital Expenditures (Capex)</t>
        </is>
      </c>
      <c r="B19" s="5" t="n"/>
      <c r="C19" s="5" t="n"/>
      <c r="D19" s="5" t="n"/>
      <c r="E19" s="5" t="n"/>
      <c r="F19" s="5" t="n"/>
      <c r="G19" s="5" t="n"/>
    </row>
    <row r="20">
      <c r="A20" s="4" t="inlineStr">
        <is>
          <t>Acquisitions, Net of Cash Acquired</t>
        </is>
      </c>
      <c r="B20" s="5" t="n"/>
      <c r="C20" s="5" t="n"/>
      <c r="D20" s="5" t="n"/>
      <c r="E20" s="5" t="n"/>
      <c r="F20" s="5" t="n"/>
      <c r="G20" s="5" t="n"/>
    </row>
    <row r="21">
      <c r="A21" s="4" t="inlineStr">
        <is>
          <t>Other Investing Activities</t>
        </is>
      </c>
      <c r="B21" s="5" t="n"/>
      <c r="C21" s="5" t="n"/>
      <c r="D21" s="5" t="n"/>
      <c r="E21" s="5" t="n"/>
      <c r="F21" s="5" t="n"/>
      <c r="G21" s="5" t="n"/>
    </row>
    <row r="22">
      <c r="A22" s="6" t="inlineStr">
        <is>
          <t>Net Cash from Investing Activities</t>
        </is>
      </c>
      <c r="B22" s="7">
        <f>B19+B20+B21</f>
        <v/>
      </c>
      <c r="C22" s="7">
        <f>C19+C20+C21</f>
        <v/>
      </c>
      <c r="D22" s="7">
        <f>D19+D20+D21</f>
        <v/>
      </c>
      <c r="E22" s="7">
        <f>E19+E20+E21</f>
        <v/>
      </c>
      <c r="F22" s="7">
        <f>F19+F20+F21</f>
        <v/>
      </c>
      <c r="G22" s="7">
        <f>G19+G20+G21</f>
        <v/>
      </c>
    </row>
    <row r="24" ht="16" customHeight="1">
      <c r="A24" s="21" t="inlineStr">
        <is>
          <t>FINANCING ACTIVITIES</t>
        </is>
      </c>
      <c r="B24" s="22" t="n"/>
      <c r="C24" s="22" t="n"/>
      <c r="D24" s="22" t="n"/>
      <c r="E24" s="22" t="n"/>
      <c r="F24" s="22" t="n"/>
      <c r="G24" s="22" t="n"/>
    </row>
    <row r="25">
      <c r="A25" s="4" t="inlineStr">
        <is>
          <t>Proceeds from Debt Drawdowns</t>
        </is>
      </c>
      <c r="B25" s="10">
        <f>'Debt Schedule'!B6+'Debt Schedule'!B17</f>
        <v/>
      </c>
      <c r="C25" s="10">
        <f>'Debt Schedule'!C6+'Debt Schedule'!C17</f>
        <v/>
      </c>
      <c r="D25" s="10">
        <f>'Debt Schedule'!D6+'Debt Schedule'!D17</f>
        <v/>
      </c>
      <c r="E25" s="10">
        <f>'Debt Schedule'!E6+'Debt Schedule'!E17</f>
        <v/>
      </c>
      <c r="F25" s="10">
        <f>'Debt Schedule'!F6+'Debt Schedule'!F17</f>
        <v/>
      </c>
      <c r="G25" s="10">
        <f>'Debt Schedule'!G6+'Debt Schedule'!G17</f>
        <v/>
      </c>
    </row>
    <row r="26">
      <c r="A26" s="4" t="inlineStr">
        <is>
          <t>Repayment of Debt</t>
        </is>
      </c>
      <c r="B26" s="10">
        <f>-('Debt Schedule'!B7+'Debt Schedule'!B18)</f>
        <v/>
      </c>
      <c r="C26" s="10">
        <f>-('Debt Schedule'!C7+'Debt Schedule'!C18)</f>
        <v/>
      </c>
      <c r="D26" s="10">
        <f>-('Debt Schedule'!D7+'Debt Schedule'!D18)</f>
        <v/>
      </c>
      <c r="E26" s="10">
        <f>-('Debt Schedule'!E7+'Debt Schedule'!E18)</f>
        <v/>
      </c>
      <c r="F26" s="10">
        <f>-('Debt Schedule'!F7+'Debt Schedule'!F18)</f>
        <v/>
      </c>
      <c r="G26" s="10">
        <f>-('Debt Schedule'!G7+'Debt Schedule'!G18)</f>
        <v/>
      </c>
    </row>
    <row r="27">
      <c r="A27" s="4" t="inlineStr">
        <is>
          <t>Dividends Paid to Equity Holders</t>
        </is>
      </c>
      <c r="B27" s="5" t="n"/>
      <c r="C27" s="5" t="n"/>
      <c r="D27" s="5" t="n"/>
      <c r="E27" s="5" t="n"/>
      <c r="F27" s="5" t="n"/>
      <c r="G27" s="5" t="n"/>
    </row>
    <row r="28">
      <c r="A28" s="6" t="inlineStr">
        <is>
          <t>Net Cash from Financing Activities</t>
        </is>
      </c>
      <c r="B28" s="7">
        <f>B25+B26+B27</f>
        <v/>
      </c>
      <c r="C28" s="7">
        <f>C25+C26+C27</f>
        <v/>
      </c>
      <c r="D28" s="7">
        <f>D25+D26+D27</f>
        <v/>
      </c>
      <c r="E28" s="7">
        <f>E25+E26+E27</f>
        <v/>
      </c>
      <c r="F28" s="7">
        <f>F25+F26+F27</f>
        <v/>
      </c>
      <c r="G28" s="7">
        <f>G25+G26+G27</f>
        <v/>
      </c>
    </row>
    <row r="30">
      <c r="A30" s="6" t="inlineStr">
        <is>
          <t>Net Increase / (Decrease) in Cash</t>
        </is>
      </c>
      <c r="B30" s="7">
        <f>B16+B22+B28</f>
        <v/>
      </c>
      <c r="C30" s="7">
        <f>C16+C22+C28</f>
        <v/>
      </c>
      <c r="D30" s="7">
        <f>D16+D22+D28</f>
        <v/>
      </c>
      <c r="E30" s="7">
        <f>E16+E22+E28</f>
        <v/>
      </c>
      <c r="F30" s="7">
        <f>F16+F22+F28</f>
        <v/>
      </c>
      <c r="G30" s="7">
        <f>G16+G22+G28</f>
        <v/>
      </c>
    </row>
    <row r="31">
      <c r="A31" s="4" t="inlineStr">
        <is>
          <t>Cash &amp; Equivalents — Beginning of Period</t>
        </is>
      </c>
      <c r="B31" s="5" t="n"/>
      <c r="C31" s="10">
        <f>'Cash Flow Statement'!B32</f>
        <v/>
      </c>
      <c r="D31" s="10">
        <f>'Cash Flow Statement'!C32</f>
        <v/>
      </c>
      <c r="E31" s="10">
        <f>'Cash Flow Statement'!D32</f>
        <v/>
      </c>
      <c r="F31" s="10">
        <f>'Cash Flow Statement'!E32</f>
        <v/>
      </c>
      <c r="G31" s="10">
        <f>'Cash Flow Statement'!F32</f>
        <v/>
      </c>
    </row>
    <row r="32">
      <c r="A32" s="6" t="inlineStr">
        <is>
          <t>Cash &amp; Equivalents — End of Period</t>
        </is>
      </c>
      <c r="B32" s="7">
        <f>B31+B30</f>
        <v/>
      </c>
      <c r="C32" s="7">
        <f>C31+C30</f>
        <v/>
      </c>
      <c r="D32" s="7">
        <f>D31+D30</f>
        <v/>
      </c>
      <c r="E32" s="7">
        <f>E31+E30</f>
        <v/>
      </c>
      <c r="F32" s="7">
        <f>F31+F30</f>
        <v/>
      </c>
      <c r="G32" s="7">
        <f>G31+G30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</cols>
  <sheetData>
    <row r="1" ht="28" customHeight="1">
      <c r="A1" s="1" t="inlineStr">
        <is>
          <t>LBO Model — Returns Analysis</t>
        </is>
      </c>
    </row>
    <row r="2">
      <c r="A2" s="27" t="inlineStr">
        <is>
          <t xml:space="preserve">  Color code:  Blue = input  |  Black = formula  |  Green = cross-sheet link</t>
        </is>
      </c>
    </row>
    <row r="4">
      <c r="A4" s="28" t="inlineStr">
        <is>
          <t>TRANSACTION ASSUMPTIONS</t>
        </is>
      </c>
      <c r="B4" s="29" t="n"/>
      <c r="C4" s="29" t="n"/>
    </row>
    <row r="5">
      <c r="A5" s="19" t="inlineStr">
        <is>
          <t>Entry Year</t>
        </is>
      </c>
      <c r="B5" s="30" t="n"/>
    </row>
    <row r="6">
      <c r="A6" s="19" t="inlineStr">
        <is>
          <t>Exit Year</t>
        </is>
      </c>
      <c r="B6" s="30" t="n"/>
    </row>
    <row r="7">
      <c r="A7" s="20" t="inlineStr">
        <is>
          <t>Investment Horizon (Years)</t>
        </is>
      </c>
      <c r="B7" s="31">
        <f>B6-B5</f>
        <v/>
      </c>
    </row>
    <row r="9">
      <c r="A9" s="28" t="inlineStr">
        <is>
          <t>ENTRY ASSUMPTIONS</t>
        </is>
      </c>
      <c r="B9" s="29" t="n"/>
      <c r="C9" s="29" t="n"/>
    </row>
    <row r="10">
      <c r="A10" s="19" t="inlineStr">
        <is>
          <t>LTM EBITDA at Entry  ($mm)</t>
        </is>
      </c>
      <c r="B10" s="5" t="n"/>
    </row>
    <row r="11">
      <c r="A11" s="19" t="inlineStr">
        <is>
          <t>Entry EV / EBITDA Multiple</t>
        </is>
      </c>
      <c r="B11" s="32" t="n"/>
    </row>
    <row r="12">
      <c r="A12" s="20" t="inlineStr">
        <is>
          <t>Entry Enterprise Value  ($mm)</t>
        </is>
      </c>
      <c r="B12" s="9">
        <f>B10*B11</f>
        <v/>
      </c>
    </row>
    <row r="13">
      <c r="A13" s="19" t="inlineStr">
        <is>
          <t>Net Debt at Entry  ($mm)</t>
        </is>
      </c>
      <c r="B13" s="5" t="n"/>
    </row>
    <row r="14">
      <c r="A14" s="20" t="inlineStr">
        <is>
          <t>Entry Equity Value  ($mm)</t>
        </is>
      </c>
      <c r="B14" s="9">
        <f>B12-B13</f>
        <v/>
      </c>
    </row>
    <row r="15">
      <c r="A15" s="19" t="inlineStr">
        <is>
          <t>Management Rollover  ($mm)</t>
        </is>
      </c>
      <c r="B15" s="5" t="n"/>
    </row>
    <row r="16">
      <c r="A16" s="20" t="inlineStr">
        <is>
          <t>Sponsor Equity Invested  ($mm)</t>
        </is>
      </c>
      <c r="B16" s="9">
        <f>B14-B15</f>
        <v/>
      </c>
    </row>
    <row r="18">
      <c r="A18" s="28" t="inlineStr">
        <is>
          <t>EXIT ASSUMPTIONS</t>
        </is>
      </c>
      <c r="B18" s="29" t="n"/>
      <c r="C18" s="29" t="n"/>
    </row>
    <row r="19">
      <c r="A19" s="19" t="inlineStr">
        <is>
          <t>LTM EBITDA at Exit  ($mm)</t>
        </is>
      </c>
      <c r="B19" s="5" t="n"/>
    </row>
    <row r="20">
      <c r="A20" s="19" t="inlineStr">
        <is>
          <t>Exit EV / EBITDA Multiple</t>
        </is>
      </c>
      <c r="B20" s="32" t="n"/>
    </row>
    <row r="21">
      <c r="A21" s="20" t="inlineStr">
        <is>
          <t>Exit Enterprise Value  ($mm)</t>
        </is>
      </c>
      <c r="B21" s="9">
        <f>B19*B20</f>
        <v/>
      </c>
    </row>
    <row r="22">
      <c r="A22" s="19" t="inlineStr">
        <is>
          <t>Net Debt at Exit  ($mm)</t>
        </is>
      </c>
      <c r="B22" s="5" t="n"/>
    </row>
    <row r="23">
      <c r="A23" s="20" t="inlineStr">
        <is>
          <t>Exit Equity Value  ($mm)</t>
        </is>
      </c>
      <c r="B23" s="9">
        <f>B21-B22</f>
        <v/>
      </c>
    </row>
    <row r="24">
      <c r="A24" s="20" t="inlineStr">
        <is>
          <t>Total Proceeds to Sponsor  ($mm)</t>
        </is>
      </c>
      <c r="B24" s="9">
        <f>B23</f>
        <v/>
      </c>
    </row>
    <row r="26">
      <c r="A26" s="28" t="inlineStr">
        <is>
          <t>RETURNS SUMMARY</t>
        </is>
      </c>
      <c r="B26" s="29" t="n"/>
      <c r="C26" s="29" t="n"/>
    </row>
    <row r="27">
      <c r="A27" s="20" t="inlineStr">
        <is>
          <t>MOIC  (Multiple of Invested Capital)</t>
        </is>
      </c>
      <c r="B27" s="33">
        <f>IFERROR(B24/B16,0)</f>
        <v/>
      </c>
    </row>
    <row r="28">
      <c r="A28" s="20" t="inlineStr">
        <is>
          <t>IRR  (Internal Rate of Return)</t>
        </is>
      </c>
      <c r="B28" s="8">
        <f>B38</f>
        <v/>
      </c>
    </row>
    <row r="30">
      <c r="A30" s="28" t="inlineStr">
        <is>
          <t>IRR CASH FLOW SCHEDULE</t>
        </is>
      </c>
      <c r="B30" s="29" t="n"/>
      <c r="C30" s="29" t="n"/>
    </row>
    <row r="31">
      <c r="A31" s="20" t="inlineStr">
        <is>
          <t>Year 0 — Equity Invested (Entry)</t>
        </is>
      </c>
      <c r="B31" s="9">
        <f>-B16</f>
        <v/>
      </c>
    </row>
    <row r="32">
      <c r="A32" s="19" t="inlineStr">
        <is>
          <t>Year 1 — Interim Free Cash Flow</t>
        </is>
      </c>
      <c r="B32" s="5" t="n"/>
    </row>
    <row r="33">
      <c r="A33" s="19" t="inlineStr">
        <is>
          <t>Year 2 — Interim Free Cash Flow</t>
        </is>
      </c>
      <c r="B33" s="5" t="n"/>
    </row>
    <row r="34">
      <c r="A34" s="19" t="inlineStr">
        <is>
          <t>Year 3 — Interim Free Cash Flow</t>
        </is>
      </c>
      <c r="B34" s="5" t="n"/>
    </row>
    <row r="35">
      <c r="A35" s="19" t="inlineStr">
        <is>
          <t>Year 4 — Interim Free Cash Flow</t>
        </is>
      </c>
      <c r="B35" s="5" t="n"/>
    </row>
    <row r="36">
      <c r="A36" s="20" t="inlineStr">
        <is>
          <t>Year 5 — Exit Proceeds to Sponsor</t>
        </is>
      </c>
      <c r="B36" s="9">
        <f>B24</f>
        <v/>
      </c>
    </row>
    <row r="38">
      <c r="A38" s="20" t="inlineStr">
        <is>
          <t>IRR  (Computed via IRR Function)</t>
        </is>
      </c>
      <c r="B38" s="8">
        <f>IFERROR(IRR(B31:B36),0)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2026-04-08T14:19:33Z</dcterms:created>
  <dcterms:modified xmlns:dcterms="http://purl.org/dc/terms/" xmlns:xsi="http://www.w3.org/2001/XMLSchema-instance" xsi:type="dcterms:W3CDTF">2026-04-08T14:19:33Z</dcterms:modified>
</cp:coreProperties>
</file>