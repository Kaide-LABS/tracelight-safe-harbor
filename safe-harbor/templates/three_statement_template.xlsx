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Revenue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COGS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Gross Profit</t>
        </is>
      </c>
      <c r="B4" s="3">
        <f>B2-B3</f>
        <v/>
      </c>
      <c r="C4" s="3">
        <f>C2-C3</f>
        <v/>
      </c>
      <c r="D4" s="3">
        <f>D2-D3</f>
        <v/>
      </c>
      <c r="E4" s="3">
        <f>E2-E3</f>
        <v/>
      </c>
      <c r="F4" s="3">
        <f>F2-F3</f>
        <v/>
      </c>
      <c r="G4" s="3">
        <f>G2-G3</f>
        <v/>
      </c>
    </row>
    <row r="5">
      <c r="A5" t="inlineStr">
        <is>
          <t>SG&amp;A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EBITDA</t>
        </is>
      </c>
      <c r="B6" s="3">
        <f>B4-B5</f>
        <v/>
      </c>
      <c r="C6" s="3">
        <f>C4-C5</f>
        <v/>
      </c>
      <c r="D6" s="3">
        <f>D4-D5</f>
        <v/>
      </c>
      <c r="E6" s="3">
        <f>E4-E5</f>
        <v/>
      </c>
      <c r="F6" s="3">
        <f>F4-F5</f>
        <v/>
      </c>
      <c r="G6" s="3">
        <f>G4-G5</f>
        <v/>
      </c>
    </row>
    <row r="7">
      <c r="A7" t="inlineStr">
        <is>
          <t>D&amp;A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EBIT</t>
        </is>
      </c>
      <c r="B8" s="3">
        <f>B6-B7</f>
        <v/>
      </c>
      <c r="C8" s="3">
        <f>C6-C7</f>
        <v/>
      </c>
      <c r="D8" s="3">
        <f>D6-D7</f>
        <v/>
      </c>
      <c r="E8" s="3">
        <f>E6-E7</f>
        <v/>
      </c>
      <c r="F8" s="3">
        <f>F6-F7</f>
        <v/>
      </c>
      <c r="G8" s="3">
        <f>G6-G7</f>
        <v/>
      </c>
    </row>
    <row r="9">
      <c r="A9" t="inlineStr">
        <is>
          <t>Interest Expense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EBT</t>
        </is>
      </c>
      <c r="B10" s="3">
        <f>B8-B9</f>
        <v/>
      </c>
      <c r="C10" s="3">
        <f>C8-C9</f>
        <v/>
      </c>
      <c r="D10" s="3">
        <f>D8-D9</f>
        <v/>
      </c>
      <c r="E10" s="3">
        <f>E8-E9</f>
        <v/>
      </c>
      <c r="F10" s="3">
        <f>F8-F9</f>
        <v/>
      </c>
      <c r="G10" s="3">
        <f>G8-G9</f>
        <v/>
      </c>
    </row>
    <row r="11">
      <c r="A11" t="inlineStr">
        <is>
          <t>Tax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Net Income</t>
        </is>
      </c>
      <c r="B12" s="3">
        <f>B10-B11</f>
        <v/>
      </c>
      <c r="C12" s="3">
        <f>C10-C11</f>
        <v/>
      </c>
      <c r="D12" s="3">
        <f>D10-D11</f>
        <v/>
      </c>
      <c r="E12" s="3">
        <f>E10-E11</f>
        <v/>
      </c>
      <c r="F12" s="3">
        <f>F10-F11</f>
        <v/>
      </c>
      <c r="G12" s="3">
        <f>G10-G11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Cash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Accounts Receivable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Inventory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Total Current Assets</t>
        </is>
      </c>
      <c r="B5" s="3">
        <f>SUM(B2:B4)</f>
        <v/>
      </c>
      <c r="C5" s="3">
        <f>SUM(C2:C4)</f>
        <v/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</row>
    <row r="6">
      <c r="A6" t="inlineStr">
        <is>
          <t>PP&amp;E Net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Total Assets</t>
        </is>
      </c>
      <c r="B7" s="3">
        <f>B5+B6</f>
        <v/>
      </c>
      <c r="C7" s="3">
        <f>C5+C6</f>
        <v/>
      </c>
      <c r="D7" s="3">
        <f>D5+D6</f>
        <v/>
      </c>
      <c r="E7" s="3">
        <f>E5+E6</f>
        <v/>
      </c>
      <c r="F7" s="3">
        <f>F5+F6</f>
        <v/>
      </c>
      <c r="G7" s="3">
        <f>G5+G6</f>
        <v/>
      </c>
    </row>
    <row r="8">
      <c r="A8" t="inlineStr">
        <is>
          <t>Accounts Payable</t>
        </is>
      </c>
      <c r="B8" s="2" t="n"/>
      <c r="C8" s="2" t="n"/>
      <c r="D8" s="2" t="n"/>
      <c r="E8" s="2" t="n"/>
      <c r="F8" s="2" t="n"/>
      <c r="G8" s="2" t="n"/>
    </row>
    <row r="9">
      <c r="A9" t="inlineStr">
        <is>
          <t>Accrued Expenses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Debt</t>
        </is>
      </c>
      <c r="B10" s="2" t="n"/>
      <c r="C10" s="2" t="n"/>
      <c r="D10" s="2" t="n"/>
      <c r="E10" s="2" t="n"/>
      <c r="F10" s="2" t="n"/>
      <c r="G10" s="2" t="n"/>
    </row>
    <row r="11">
      <c r="A11" t="inlineStr">
        <is>
          <t>Total Liabilities</t>
        </is>
      </c>
      <c r="B11" s="3">
        <f>SUM(B8:B10)</f>
        <v/>
      </c>
      <c r="C11" s="3">
        <f>SUM(C8:C10)</f>
        <v/>
      </c>
      <c r="D11" s="3">
        <f>SUM(D8:D10)</f>
        <v/>
      </c>
      <c r="E11" s="3">
        <f>SUM(E8:E10)</f>
        <v/>
      </c>
      <c r="F11" s="3">
        <f>SUM(F8:F10)</f>
        <v/>
      </c>
      <c r="G11" s="3">
        <f>SUM(G8:G10)</f>
        <v/>
      </c>
    </row>
    <row r="12">
      <c r="A12" t="inlineStr">
        <is>
          <t>Common Equity</t>
        </is>
      </c>
      <c r="B12" s="2" t="n"/>
      <c r="C12" s="2" t="n"/>
      <c r="D12" s="2" t="n"/>
      <c r="E12" s="2" t="n"/>
      <c r="F12" s="2" t="n"/>
      <c r="G12" s="2" t="n"/>
    </row>
    <row r="13">
      <c r="A13" t="inlineStr">
        <is>
          <t>Retained Earnings</t>
        </is>
      </c>
      <c r="B13" s="3">
        <f>'Income Statement'!B12</f>
        <v/>
      </c>
      <c r="C13" s="3">
        <f>B13+'Income Statement'!C12</f>
        <v/>
      </c>
      <c r="D13" s="3">
        <f>C13+'Income Statement'!D12</f>
        <v/>
      </c>
      <c r="E13" s="3">
        <f>D13+'Income Statement'!E12</f>
        <v/>
      </c>
      <c r="F13" s="3">
        <f>E13+'Income Statement'!F12</f>
        <v/>
      </c>
      <c r="G13" s="3">
        <f>F13+'Income Statement'!G12</f>
        <v/>
      </c>
    </row>
    <row r="14">
      <c r="A14" t="inlineStr">
        <is>
          <t>Total Equity</t>
        </is>
      </c>
      <c r="B14" s="3">
        <f>B12+B13</f>
        <v/>
      </c>
      <c r="C14" s="3">
        <f>C12+C13</f>
        <v/>
      </c>
      <c r="D14" s="3">
        <f>D12+D13</f>
        <v/>
      </c>
      <c r="E14" s="3">
        <f>E12+E13</f>
        <v/>
      </c>
      <c r="F14" s="3">
        <f>F12+F13</f>
        <v/>
      </c>
      <c r="G14" s="3">
        <f>G12+G13</f>
        <v/>
      </c>
    </row>
    <row r="15">
      <c r="A15" t="inlineStr">
        <is>
          <t>Total Liabilities &amp; Equity</t>
        </is>
      </c>
      <c r="B15" s="3">
        <f>B11+B14</f>
        <v/>
      </c>
      <c r="C15" s="3">
        <f>C11+C14</f>
        <v/>
      </c>
      <c r="D15" s="3">
        <f>D11+D14</f>
        <v/>
      </c>
      <c r="E15" s="3">
        <f>E11+E14</f>
        <v/>
      </c>
      <c r="F15" s="3">
        <f>F11+F14</f>
        <v/>
      </c>
      <c r="G15" s="3">
        <f>G11+G14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Net Income</t>
        </is>
      </c>
      <c r="B2" s="3">
        <f>'Income Statement'!B12</f>
        <v/>
      </c>
      <c r="C2" s="3">
        <f>'Income Statement'!C12</f>
        <v/>
      </c>
      <c r="D2" s="3">
        <f>'Income Statement'!D12</f>
        <v/>
      </c>
      <c r="E2" s="3">
        <f>'Income Statement'!E12</f>
        <v/>
      </c>
      <c r="F2" s="3">
        <f>'Income Statement'!F12</f>
        <v/>
      </c>
      <c r="G2" s="3">
        <f>'Income Statement'!G12</f>
        <v/>
      </c>
    </row>
    <row r="3">
      <c r="A3" t="inlineStr">
        <is>
          <t>D&amp;A</t>
        </is>
      </c>
      <c r="B3" s="3">
        <f>'Income Statement'!B7</f>
        <v/>
      </c>
      <c r="C3" s="3">
        <f>'Income Statement'!C7</f>
        <v/>
      </c>
      <c r="D3" s="3">
        <f>'Income Statement'!D7</f>
        <v/>
      </c>
      <c r="E3" s="3">
        <f>'Income Statement'!E7</f>
        <v/>
      </c>
      <c r="F3" s="3">
        <f>'Income Statement'!F7</f>
        <v/>
      </c>
      <c r="G3" s="3">
        <f>'Income Statement'!G7</f>
        <v/>
      </c>
    </row>
    <row r="4">
      <c r="A4" t="inlineStr">
        <is>
          <t>Changes in Working Capital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Operating CF</t>
        </is>
      </c>
      <c r="B5" s="3">
        <f>B2+B3+B4</f>
        <v/>
      </c>
      <c r="C5" s="3">
        <f>C2+C3+C4</f>
        <v/>
      </c>
      <c r="D5" s="3">
        <f>D2+D3+D4</f>
        <v/>
      </c>
      <c r="E5" s="3">
        <f>E2+E3+E4</f>
        <v/>
      </c>
      <c r="F5" s="3">
        <f>F2+F3+F4</f>
        <v/>
      </c>
      <c r="G5" s="3">
        <f>G2+G3+G4</f>
        <v/>
      </c>
    </row>
    <row r="6">
      <c r="A6" t="inlineStr">
        <is>
          <t>CapEx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Investing CF</t>
        </is>
      </c>
      <c r="B7" s="3">
        <f>-B6</f>
        <v/>
      </c>
      <c r="C7" s="3">
        <f>-C6</f>
        <v/>
      </c>
      <c r="D7" s="3">
        <f>-D6</f>
        <v/>
      </c>
      <c r="E7" s="3">
        <f>-E6</f>
        <v/>
      </c>
      <c r="F7" s="3">
        <f>-F6</f>
        <v/>
      </c>
      <c r="G7" s="3">
        <f>-G6</f>
        <v/>
      </c>
    </row>
    <row r="8">
      <c r="A8" t="inlineStr">
        <is>
          <t>Net Change in Cash</t>
        </is>
      </c>
      <c r="B8" s="3">
        <f>B5+B7</f>
        <v/>
      </c>
      <c r="C8" s="3">
        <f>C5+C7</f>
        <v/>
      </c>
      <c r="D8" s="3">
        <f>D5+D7</f>
        <v/>
      </c>
      <c r="E8" s="3">
        <f>E5+E7</f>
        <v/>
      </c>
      <c r="F8" s="3">
        <f>F5+F7</f>
        <v/>
      </c>
      <c r="G8" s="3">
        <f>G5+G7</f>
        <v/>
      </c>
    </row>
    <row r="9">
      <c r="A9" t="inlineStr">
        <is>
          <t>Beginning Cash</t>
        </is>
      </c>
      <c r="B9" s="3" t="n">
        <v>0</v>
      </c>
      <c r="C9" s="3">
        <f>B10</f>
        <v/>
      </c>
      <c r="D9" s="3">
        <f>C10</f>
        <v/>
      </c>
      <c r="E9" s="3">
        <f>D10</f>
        <v/>
      </c>
      <c r="F9" s="3">
        <f>E10</f>
        <v/>
      </c>
      <c r="G9" s="3">
        <f>F10</f>
        <v/>
      </c>
    </row>
    <row r="10">
      <c r="A10" t="inlineStr">
        <is>
          <t>Ending Cash</t>
        </is>
      </c>
      <c r="B10" s="3">
        <f>B8+B9</f>
        <v/>
      </c>
      <c r="C10" s="3">
        <f>C8+C9</f>
        <v/>
      </c>
      <c r="D10" s="3">
        <f>D8+D9</f>
        <v/>
      </c>
      <c r="E10" s="3">
        <f>E8+E9</f>
        <v/>
      </c>
      <c r="F10" s="3">
        <f>F8+F9</f>
        <v/>
      </c>
      <c r="G10" s="3">
        <f>G8+G9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2026-04-07T14:29:40Z</dcterms:created>
  <dcterms:modified xsi:type="dcterms:W3CDTF">2026-04-07T14:29:40Z</dcterms:modified>
</cp:coreProperties>
</file>