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Debt Schedule" sheetId="4" state="visible" r:id="rId4"/>
    <sheet name="Returns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x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Revenue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COGS</t>
        </is>
      </c>
      <c r="B3" s="2" t="n"/>
      <c r="C3" s="2" t="n"/>
      <c r="D3" s="2" t="n"/>
      <c r="E3" s="2" t="n"/>
      <c r="F3" s="2" t="n"/>
      <c r="G3" s="2" t="n"/>
    </row>
    <row r="4">
      <c r="A4" t="inlineStr">
        <is>
          <t>Gross Profit</t>
        </is>
      </c>
      <c r="B4" s="3">
        <f>B2-B3</f>
        <v/>
      </c>
      <c r="C4" s="3">
        <f>C2-C3</f>
        <v/>
      </c>
      <c r="D4" s="3">
        <f>D2-D3</f>
        <v/>
      </c>
      <c r="E4" s="3">
        <f>E2-E3</f>
        <v/>
      </c>
      <c r="F4" s="3">
        <f>F2-F3</f>
        <v/>
      </c>
      <c r="G4" s="3">
        <f>G2-G3</f>
        <v/>
      </c>
    </row>
    <row r="5">
      <c r="A5" t="inlineStr">
        <is>
          <t>SG&amp;A</t>
        </is>
      </c>
      <c r="B5" s="2" t="n"/>
      <c r="C5" s="2" t="n"/>
      <c r="D5" s="2" t="n"/>
      <c r="E5" s="2" t="n"/>
      <c r="F5" s="2" t="n"/>
      <c r="G5" s="2" t="n"/>
    </row>
    <row r="6">
      <c r="A6" t="inlineStr">
        <is>
          <t>EBITDA</t>
        </is>
      </c>
      <c r="B6" s="3">
        <f>B4-B5</f>
        <v/>
      </c>
      <c r="C6" s="3">
        <f>C4-C5</f>
        <v/>
      </c>
      <c r="D6" s="3">
        <f>D4-D5</f>
        <v/>
      </c>
      <c r="E6" s="3">
        <f>E4-E5</f>
        <v/>
      </c>
      <c r="F6" s="3">
        <f>F4-F5</f>
        <v/>
      </c>
      <c r="G6" s="3">
        <f>G4-G5</f>
        <v/>
      </c>
    </row>
    <row r="7">
      <c r="A7" t="inlineStr">
        <is>
          <t>D&amp;A</t>
        </is>
      </c>
      <c r="B7" s="2" t="n"/>
      <c r="C7" s="2" t="n"/>
      <c r="D7" s="2" t="n"/>
      <c r="E7" s="2" t="n"/>
      <c r="F7" s="2" t="n"/>
      <c r="G7" s="2" t="n"/>
    </row>
    <row r="8">
      <c r="A8" t="inlineStr">
        <is>
          <t>EBIT</t>
        </is>
      </c>
      <c r="B8" s="3">
        <f>B6-B7</f>
        <v/>
      </c>
      <c r="C8" s="3">
        <f>C6-C7</f>
        <v/>
      </c>
      <c r="D8" s="3">
        <f>D6-D7</f>
        <v/>
      </c>
      <c r="E8" s="3">
        <f>E6-E7</f>
        <v/>
      </c>
      <c r="F8" s="3">
        <f>F6-F7</f>
        <v/>
      </c>
      <c r="G8" s="3">
        <f>G6-G7</f>
        <v/>
      </c>
    </row>
    <row r="9">
      <c r="A9" t="inlineStr">
        <is>
          <t>Interest Expense</t>
        </is>
      </c>
      <c r="B9" s="3">
        <f>'Debt Schedule'!B16</f>
        <v/>
      </c>
      <c r="C9" s="3">
        <f>'Debt Schedule'!C16</f>
        <v/>
      </c>
      <c r="D9" s="3">
        <f>'Debt Schedule'!D16</f>
        <v/>
      </c>
      <c r="E9" s="3">
        <f>'Debt Schedule'!E16</f>
        <v/>
      </c>
      <c r="F9" s="3">
        <f>'Debt Schedule'!F16</f>
        <v/>
      </c>
      <c r="G9" s="3">
        <f>'Debt Schedule'!G16</f>
        <v/>
      </c>
    </row>
    <row r="10">
      <c r="A10" t="inlineStr">
        <is>
          <t>EBT</t>
        </is>
      </c>
      <c r="B10" s="3">
        <f>B8-B9</f>
        <v/>
      </c>
      <c r="C10" s="3">
        <f>C8-C9</f>
        <v/>
      </c>
      <c r="D10" s="3">
        <f>D8-D9</f>
        <v/>
      </c>
      <c r="E10" s="3">
        <f>E8-E9</f>
        <v/>
      </c>
      <c r="F10" s="3">
        <f>F8-F9</f>
        <v/>
      </c>
      <c r="G10" s="3">
        <f>G8-G9</f>
        <v/>
      </c>
    </row>
    <row r="11">
      <c r="A11" t="inlineStr">
        <is>
          <t>Tax</t>
        </is>
      </c>
      <c r="B11" s="2" t="n"/>
      <c r="C11" s="2" t="n"/>
      <c r="D11" s="2" t="n"/>
      <c r="E11" s="2" t="n"/>
      <c r="F11" s="2" t="n"/>
      <c r="G11" s="2" t="n"/>
    </row>
    <row r="12">
      <c r="A12" t="inlineStr">
        <is>
          <t>Net Income</t>
        </is>
      </c>
      <c r="B12" s="3">
        <f>B10-B11</f>
        <v/>
      </c>
      <c r="C12" s="3">
        <f>C10-C11</f>
        <v/>
      </c>
      <c r="D12" s="3">
        <f>D10-D11</f>
        <v/>
      </c>
      <c r="E12" s="3">
        <f>E10-E11</f>
        <v/>
      </c>
      <c r="F12" s="3">
        <f>F10-F11</f>
        <v/>
      </c>
      <c r="G12" s="3">
        <f>G10-G11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Cash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Accounts Receivable</t>
        </is>
      </c>
      <c r="B3" s="2" t="n"/>
      <c r="C3" s="2" t="n"/>
      <c r="D3" s="2" t="n"/>
      <c r="E3" s="2" t="n"/>
      <c r="F3" s="2" t="n"/>
      <c r="G3" s="2" t="n"/>
    </row>
    <row r="4">
      <c r="A4" t="inlineStr">
        <is>
          <t>Inventory</t>
        </is>
      </c>
      <c r="B4" s="2" t="n"/>
      <c r="C4" s="2" t="n"/>
      <c r="D4" s="2" t="n"/>
      <c r="E4" s="2" t="n"/>
      <c r="F4" s="2" t="n"/>
      <c r="G4" s="2" t="n"/>
    </row>
    <row r="5">
      <c r="A5" t="inlineStr">
        <is>
          <t>Other Current Assets</t>
        </is>
      </c>
      <c r="B5" s="2" t="n"/>
      <c r="C5" s="2" t="n"/>
      <c r="D5" s="2" t="n"/>
      <c r="E5" s="2" t="n"/>
      <c r="F5" s="2" t="n"/>
      <c r="G5" s="2" t="n"/>
    </row>
    <row r="6">
      <c r="A6" t="inlineStr">
        <is>
          <t>Total Current Assets</t>
        </is>
      </c>
      <c r="B6" s="3">
        <f>SUM(B2:B5)</f>
        <v/>
      </c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  <c r="G6" s="3">
        <f>SUM(G2:G5)</f>
        <v/>
      </c>
    </row>
    <row r="7">
      <c r="A7" t="inlineStr">
        <is>
          <t>PP&amp;E Net</t>
        </is>
      </c>
      <c r="B7" s="2" t="n"/>
      <c r="C7" s="2" t="n"/>
      <c r="D7" s="2" t="n"/>
      <c r="E7" s="2" t="n"/>
      <c r="F7" s="2" t="n"/>
      <c r="G7" s="2" t="n"/>
    </row>
    <row r="8">
      <c r="A8" t="inlineStr">
        <is>
          <t>Goodwill</t>
        </is>
      </c>
      <c r="B8" s="2" t="n"/>
      <c r="C8" s="2" t="n"/>
      <c r="D8" s="2" t="n"/>
      <c r="E8" s="2" t="n"/>
      <c r="F8" s="2" t="n"/>
      <c r="G8" s="2" t="n"/>
    </row>
    <row r="9">
      <c r="A9" t="inlineStr">
        <is>
          <t>Other Non-Current Assets</t>
        </is>
      </c>
      <c r="B9" s="2" t="n"/>
      <c r="C9" s="2" t="n"/>
      <c r="D9" s="2" t="n"/>
      <c r="E9" s="2" t="n"/>
      <c r="F9" s="2" t="n"/>
      <c r="G9" s="2" t="n"/>
    </row>
    <row r="10">
      <c r="A10" t="inlineStr">
        <is>
          <t>Total Assets</t>
        </is>
      </c>
      <c r="B10" s="3">
        <f>B6+B7+B8+B9</f>
        <v/>
      </c>
      <c r="C10" s="3">
        <f>C6+C7+C8+C9</f>
        <v/>
      </c>
      <c r="D10" s="3">
        <f>D6+D7+D8+D9</f>
        <v/>
      </c>
      <c r="E10" s="3">
        <f>E6+E7+E8+E9</f>
        <v/>
      </c>
      <c r="F10" s="3">
        <f>F6+F7+F8+F9</f>
        <v/>
      </c>
      <c r="G10" s="3">
        <f>G6+G7+G8+G9</f>
        <v/>
      </c>
    </row>
    <row r="11">
      <c r="A11" t="inlineStr">
        <is>
          <t>Accounts Payable</t>
        </is>
      </c>
      <c r="B11" s="2" t="n"/>
      <c r="C11" s="2" t="n"/>
      <c r="D11" s="2" t="n"/>
      <c r="E11" s="2" t="n"/>
      <c r="F11" s="2" t="n"/>
      <c r="G11" s="2" t="n"/>
    </row>
    <row r="12">
      <c r="A12" t="inlineStr">
        <is>
          <t>Accrued Expenses</t>
        </is>
      </c>
      <c r="B12" s="2" t="n"/>
      <c r="C12" s="2" t="n"/>
      <c r="D12" s="2" t="n"/>
      <c r="E12" s="2" t="n"/>
      <c r="F12" s="2" t="n"/>
      <c r="G12" s="2" t="n"/>
    </row>
    <row r="13">
      <c r="A13" t="inlineStr">
        <is>
          <t>Current Portion of Debt</t>
        </is>
      </c>
      <c r="B13" s="2" t="n"/>
      <c r="C13" s="2" t="n"/>
      <c r="D13" s="2" t="n"/>
      <c r="E13" s="2" t="n"/>
      <c r="F13" s="2" t="n"/>
      <c r="G13" s="2" t="n"/>
    </row>
    <row r="14">
      <c r="A14" t="inlineStr">
        <is>
          <t>Total Current Liabilities</t>
        </is>
      </c>
      <c r="B14" s="3">
        <f>SUM(B11:B13)</f>
        <v/>
      </c>
      <c r="C14" s="3">
        <f>SUM(C11:C13)</f>
        <v/>
      </c>
      <c r="D14" s="3">
        <f>SUM(D11:D13)</f>
        <v/>
      </c>
      <c r="E14" s="3">
        <f>SUM(E11:E13)</f>
        <v/>
      </c>
      <c r="F14" s="3">
        <f>SUM(F11:F13)</f>
        <v/>
      </c>
      <c r="G14" s="3">
        <f>SUM(G11:G13)</f>
        <v/>
      </c>
    </row>
    <row r="15">
      <c r="A15" t="inlineStr">
        <is>
          <t>Senior Debt</t>
        </is>
      </c>
      <c r="B15" s="2" t="n"/>
      <c r="C15" s="2" t="n"/>
      <c r="D15" s="2" t="n"/>
      <c r="E15" s="2" t="n"/>
      <c r="F15" s="2" t="n"/>
      <c r="G15" s="2" t="n"/>
    </row>
    <row r="16">
      <c r="A16" t="inlineStr">
        <is>
          <t>Mezzanine Debt</t>
        </is>
      </c>
      <c r="B16" s="2" t="n"/>
      <c r="C16" s="2" t="n"/>
      <c r="D16" s="2" t="n"/>
      <c r="E16" s="2" t="n"/>
      <c r="F16" s="2" t="n"/>
      <c r="G16" s="2" t="n"/>
    </row>
    <row r="17">
      <c r="A17" t="inlineStr">
        <is>
          <t>Total Liabilities</t>
        </is>
      </c>
      <c r="B17" s="3">
        <f>B14+B15+B16</f>
        <v/>
      </c>
      <c r="C17" s="3">
        <f>C14+C15+C16</f>
        <v/>
      </c>
      <c r="D17" s="3">
        <f>D14+D15+D16</f>
        <v/>
      </c>
      <c r="E17" s="3">
        <f>E14+E15+E16</f>
        <v/>
      </c>
      <c r="F17" s="3">
        <f>F14+F15+F16</f>
        <v/>
      </c>
      <c r="G17" s="3">
        <f>G14+G15+G16</f>
        <v/>
      </c>
    </row>
    <row r="18">
      <c r="A18" t="inlineStr">
        <is>
          <t>Common Equity</t>
        </is>
      </c>
      <c r="B18" s="2" t="n"/>
      <c r="C18" s="2" t="n"/>
      <c r="D18" s="2" t="n"/>
      <c r="E18" s="2" t="n"/>
      <c r="F18" s="2" t="n"/>
      <c r="G18" s="2" t="n"/>
    </row>
    <row r="19">
      <c r="A19" t="inlineStr">
        <is>
          <t>Retained Earnings</t>
        </is>
      </c>
      <c r="B19" s="3">
        <f>'Income Statement'!B12</f>
        <v/>
      </c>
      <c r="C19" s="3">
        <f>B19+'Income Statement'!C12</f>
        <v/>
      </c>
      <c r="D19" s="3">
        <f>C19+'Income Statement'!D12</f>
        <v/>
      </c>
      <c r="E19" s="3">
        <f>D19+'Income Statement'!E12</f>
        <v/>
      </c>
      <c r="F19" s="3">
        <f>E19+'Income Statement'!F12</f>
        <v/>
      </c>
      <c r="G19" s="3">
        <f>F19+'Income Statement'!G12</f>
        <v/>
      </c>
    </row>
    <row r="20">
      <c r="A20" t="inlineStr">
        <is>
          <t>Total Equity</t>
        </is>
      </c>
      <c r="B20" s="3">
        <f>B18+B19</f>
        <v/>
      </c>
      <c r="C20" s="3">
        <f>C18+C19</f>
        <v/>
      </c>
      <c r="D20" s="3">
        <f>D18+D19</f>
        <v/>
      </c>
      <c r="E20" s="3">
        <f>E18+E19</f>
        <v/>
      </c>
      <c r="F20" s="3">
        <f>F18+F19</f>
        <v/>
      </c>
      <c r="G20" s="3">
        <f>G18+G19</f>
        <v/>
      </c>
    </row>
    <row r="21">
      <c r="A21" t="inlineStr">
        <is>
          <t>Total Liabilities &amp; Equity</t>
        </is>
      </c>
      <c r="B21" s="3">
        <f>B17+B20</f>
        <v/>
      </c>
      <c r="C21" s="3">
        <f>C17+C20</f>
        <v/>
      </c>
      <c r="D21" s="3">
        <f>D17+D20</f>
        <v/>
      </c>
      <c r="E21" s="3">
        <f>E17+E20</f>
        <v/>
      </c>
      <c r="F21" s="3">
        <f>F17+F20</f>
        <v/>
      </c>
      <c r="G21" s="3">
        <f>G17+G20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Net Income</t>
        </is>
      </c>
      <c r="B2" s="3">
        <f>'Income Statement'!B12</f>
        <v/>
      </c>
      <c r="C2" s="3">
        <f>'Income Statement'!C12</f>
        <v/>
      </c>
      <c r="D2" s="3">
        <f>'Income Statement'!D12</f>
        <v/>
      </c>
      <c r="E2" s="3">
        <f>'Income Statement'!E12</f>
        <v/>
      </c>
      <c r="F2" s="3">
        <f>'Income Statement'!F12</f>
        <v/>
      </c>
      <c r="G2" s="3">
        <f>'Income Statement'!G12</f>
        <v/>
      </c>
    </row>
    <row r="3">
      <c r="A3" t="inlineStr">
        <is>
          <t>D&amp;A</t>
        </is>
      </c>
      <c r="B3" s="3">
        <f>'Income Statement'!B7</f>
        <v/>
      </c>
      <c r="C3" s="3">
        <f>'Income Statement'!C7</f>
        <v/>
      </c>
      <c r="D3" s="3">
        <f>'Income Statement'!D7</f>
        <v/>
      </c>
      <c r="E3" s="3">
        <f>'Income Statement'!E7</f>
        <v/>
      </c>
      <c r="F3" s="3">
        <f>'Income Statement'!F7</f>
        <v/>
      </c>
      <c r="G3" s="3">
        <f>'Income Statement'!G7</f>
        <v/>
      </c>
    </row>
    <row r="4">
      <c r="A4" t="inlineStr">
        <is>
          <t>Changes in Working Capital</t>
        </is>
      </c>
      <c r="B4" s="2" t="n"/>
      <c r="C4" s="2" t="n"/>
      <c r="D4" s="2" t="n"/>
      <c r="E4" s="2" t="n"/>
      <c r="F4" s="2" t="n"/>
      <c r="G4" s="2" t="n"/>
    </row>
    <row r="5">
      <c r="A5" t="inlineStr">
        <is>
          <t>Operating CF</t>
        </is>
      </c>
      <c r="B5" s="3">
        <f>B2+B3+B4</f>
        <v/>
      </c>
      <c r="C5" s="3">
        <f>C2+C3+C4</f>
        <v/>
      </c>
      <c r="D5" s="3">
        <f>D2+D3+D4</f>
        <v/>
      </c>
      <c r="E5" s="3">
        <f>E2+E3+E4</f>
        <v/>
      </c>
      <c r="F5" s="3">
        <f>F2+F3+F4</f>
        <v/>
      </c>
      <c r="G5" s="3">
        <f>G2+G3+G4</f>
        <v/>
      </c>
    </row>
    <row r="6">
      <c r="A6" t="inlineStr">
        <is>
          <t>CapEx</t>
        </is>
      </c>
      <c r="B6" s="2" t="n"/>
      <c r="C6" s="2" t="n"/>
      <c r="D6" s="2" t="n"/>
      <c r="E6" s="2" t="n"/>
      <c r="F6" s="2" t="n"/>
      <c r="G6" s="2" t="n"/>
    </row>
    <row r="7">
      <c r="A7" t="inlineStr">
        <is>
          <t>Investing CF</t>
        </is>
      </c>
      <c r="B7" s="3">
        <f>-B6</f>
        <v/>
      </c>
      <c r="C7" s="3">
        <f>-C6</f>
        <v/>
      </c>
      <c r="D7" s="3">
        <f>-D6</f>
        <v/>
      </c>
      <c r="E7" s="3">
        <f>-E6</f>
        <v/>
      </c>
      <c r="F7" s="3">
        <f>-F6</f>
        <v/>
      </c>
      <c r="G7" s="3">
        <f>-G6</f>
        <v/>
      </c>
    </row>
    <row r="8">
      <c r="A8" t="inlineStr">
        <is>
          <t>Debt Drawdowns</t>
        </is>
      </c>
      <c r="B8" s="2" t="n"/>
      <c r="C8" s="2" t="n"/>
      <c r="D8" s="2" t="n"/>
      <c r="E8" s="2" t="n"/>
      <c r="F8" s="2" t="n"/>
      <c r="G8" s="2" t="n"/>
    </row>
    <row r="9">
      <c r="A9" t="inlineStr">
        <is>
          <t>Debt Repayments</t>
        </is>
      </c>
      <c r="B9" s="2" t="n"/>
      <c r="C9" s="2" t="n"/>
      <c r="D9" s="2" t="n"/>
      <c r="E9" s="2" t="n"/>
      <c r="F9" s="2" t="n"/>
      <c r="G9" s="2" t="n"/>
    </row>
    <row r="10">
      <c r="A10" t="inlineStr">
        <is>
          <t>Dividends</t>
        </is>
      </c>
      <c r="B10" s="2" t="n"/>
      <c r="C10" s="2" t="n"/>
      <c r="D10" s="2" t="n"/>
      <c r="E10" s="2" t="n"/>
      <c r="F10" s="2" t="n"/>
      <c r="G10" s="2" t="n"/>
    </row>
    <row r="11">
      <c r="A11" t="inlineStr">
        <is>
          <t>Financing CF</t>
        </is>
      </c>
      <c r="B11" s="3">
        <f>B8-B9-B10</f>
        <v/>
      </c>
      <c r="C11" s="3">
        <f>C8-C9-C10</f>
        <v/>
      </c>
      <c r="D11" s="3">
        <f>D8-D9-D10</f>
        <v/>
      </c>
      <c r="E11" s="3">
        <f>E8-E9-E10</f>
        <v/>
      </c>
      <c r="F11" s="3">
        <f>F8-F9-F10</f>
        <v/>
      </c>
      <c r="G11" s="3">
        <f>G8-G9-G10</f>
        <v/>
      </c>
    </row>
    <row r="12">
      <c r="A12" t="inlineStr">
        <is>
          <t>Net Change in Cash</t>
        </is>
      </c>
      <c r="B12" s="3">
        <f>B5+B7+B11</f>
        <v/>
      </c>
      <c r="C12" s="3">
        <f>C5+C7+C11</f>
        <v/>
      </c>
      <c r="D12" s="3">
        <f>D5+D7+D11</f>
        <v/>
      </c>
      <c r="E12" s="3">
        <f>E5+E7+E11</f>
        <v/>
      </c>
      <c r="F12" s="3">
        <f>F5+F7+F11</f>
        <v/>
      </c>
      <c r="G12" s="3">
        <f>G5+G7+G11</f>
        <v/>
      </c>
    </row>
    <row r="13">
      <c r="A13" t="inlineStr">
        <is>
          <t>Beginning Cash</t>
        </is>
      </c>
      <c r="B13" s="3" t="n">
        <v>0</v>
      </c>
      <c r="C13" s="3">
        <f>B14</f>
        <v/>
      </c>
      <c r="D13" s="3">
        <f>C14</f>
        <v/>
      </c>
      <c r="E13" s="3">
        <f>D14</f>
        <v/>
      </c>
      <c r="F13" s="3">
        <f>E14</f>
        <v/>
      </c>
      <c r="G13" s="3">
        <f>F14</f>
        <v/>
      </c>
    </row>
    <row r="14">
      <c r="A14" t="inlineStr">
        <is>
          <t>Ending Cash</t>
        </is>
      </c>
      <c r="B14" s="3">
        <f>B12+B13</f>
        <v/>
      </c>
      <c r="C14" s="3">
        <f>C12+C13</f>
        <v/>
      </c>
      <c r="D14" s="3">
        <f>D12+D13</f>
        <v/>
      </c>
      <c r="E14" s="3">
        <f>E12+E13</f>
        <v/>
      </c>
      <c r="F14" s="3">
        <f>F12+F13</f>
        <v/>
      </c>
      <c r="G14" s="3">
        <f>G12+G13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s="1" t="inlineStr">
        <is>
          <t>Senior Debt</t>
        </is>
      </c>
    </row>
    <row r="3">
      <c r="A3" t="inlineStr">
        <is>
          <t>Beginning Balance</t>
        </is>
      </c>
      <c r="B3" s="2" t="n"/>
      <c r="C3" s="3">
        <f>B6</f>
        <v/>
      </c>
      <c r="D3" s="3">
        <f>C6</f>
        <v/>
      </c>
      <c r="E3" s="3">
        <f>D6</f>
        <v/>
      </c>
      <c r="F3" s="3">
        <f>E6</f>
        <v/>
      </c>
      <c r="G3" s="3">
        <f>F6</f>
        <v/>
      </c>
    </row>
    <row r="4">
      <c r="A4" t="inlineStr">
        <is>
          <t>Drawdowns</t>
        </is>
      </c>
      <c r="B4" s="2" t="n"/>
      <c r="C4" s="2" t="n"/>
      <c r="D4" s="2" t="n"/>
      <c r="E4" s="2" t="n"/>
      <c r="F4" s="2" t="n"/>
      <c r="G4" s="2" t="n"/>
    </row>
    <row r="5">
      <c r="A5" t="inlineStr">
        <is>
          <t>Repayments</t>
        </is>
      </c>
      <c r="B5" s="2" t="n"/>
      <c r="C5" s="2" t="n"/>
      <c r="D5" s="2" t="n"/>
      <c r="E5" s="2" t="n"/>
      <c r="F5" s="2" t="n"/>
      <c r="G5" s="2" t="n"/>
    </row>
    <row r="6">
      <c r="A6" t="inlineStr">
        <is>
          <t>Ending Balance</t>
        </is>
      </c>
      <c r="B6" s="3">
        <f>B3+B4-B5</f>
        <v/>
      </c>
      <c r="C6" s="3">
        <f>C3+C4-C5</f>
        <v/>
      </c>
      <c r="D6" s="3">
        <f>D3+D4-D5</f>
        <v/>
      </c>
      <c r="E6" s="3">
        <f>E3+E4-E5</f>
        <v/>
      </c>
      <c r="F6" s="3">
        <f>F3+F4-F5</f>
        <v/>
      </c>
      <c r="G6" s="3">
        <f>G3+G4-G5</f>
        <v/>
      </c>
    </row>
    <row r="7">
      <c r="A7" t="inlineStr">
        <is>
          <t>Interest Rate</t>
        </is>
      </c>
      <c r="B7" s="4" t="n"/>
      <c r="C7" s="4" t="n"/>
      <c r="D7" s="4" t="n"/>
      <c r="E7" s="4" t="n"/>
      <c r="F7" s="4" t="n"/>
      <c r="G7" s="4" t="n"/>
    </row>
    <row r="8">
      <c r="A8" t="inlineStr">
        <is>
          <t>Interest Expense</t>
        </is>
      </c>
      <c r="B8" s="3">
        <f>B3*B7</f>
        <v/>
      </c>
      <c r="C8" s="3">
        <f>C3*C7</f>
        <v/>
      </c>
      <c r="D8" s="3">
        <f>D3*D7</f>
        <v/>
      </c>
      <c r="E8" s="3">
        <f>E3*E7</f>
        <v/>
      </c>
      <c r="F8" s="3">
        <f>F3*F7</f>
        <v/>
      </c>
      <c r="G8" s="3">
        <f>G3*G7</f>
        <v/>
      </c>
    </row>
    <row r="9">
      <c r="A9" s="1" t="inlineStr">
        <is>
          <t>Mezzanine Debt</t>
        </is>
      </c>
    </row>
    <row r="10">
      <c r="A10" t="inlineStr">
        <is>
          <t>Beginning Balance</t>
        </is>
      </c>
      <c r="B10" s="2" t="n"/>
      <c r="C10" s="3">
        <f>B13</f>
        <v/>
      </c>
      <c r="D10" s="3">
        <f>C13</f>
        <v/>
      </c>
      <c r="E10" s="3">
        <f>D13</f>
        <v/>
      </c>
      <c r="F10" s="3">
        <f>E13</f>
        <v/>
      </c>
      <c r="G10" s="3">
        <f>F13</f>
        <v/>
      </c>
    </row>
    <row r="11">
      <c r="A11" t="inlineStr">
        <is>
          <t>Drawdowns</t>
        </is>
      </c>
      <c r="B11" s="2" t="n"/>
      <c r="C11" s="2" t="n"/>
      <c r="D11" s="2" t="n"/>
      <c r="E11" s="2" t="n"/>
      <c r="F11" s="2" t="n"/>
      <c r="G11" s="2" t="n"/>
    </row>
    <row r="12">
      <c r="A12" t="inlineStr">
        <is>
          <t>Repayments</t>
        </is>
      </c>
      <c r="B12" s="2" t="n"/>
      <c r="C12" s="2" t="n"/>
      <c r="D12" s="2" t="n"/>
      <c r="E12" s="2" t="n"/>
      <c r="F12" s="2" t="n"/>
      <c r="G12" s="2" t="n"/>
    </row>
    <row r="13">
      <c r="A13" t="inlineStr">
        <is>
          <t>Ending Balance</t>
        </is>
      </c>
      <c r="B13" s="3">
        <f>B10+B11-B12</f>
        <v/>
      </c>
      <c r="C13" s="3">
        <f>C10+C11-C12</f>
        <v/>
      </c>
      <c r="D13" s="3">
        <f>D10+D11-D12</f>
        <v/>
      </c>
      <c r="E13" s="3">
        <f>E10+E11-E12</f>
        <v/>
      </c>
      <c r="F13" s="3">
        <f>F10+F11-F12</f>
        <v/>
      </c>
      <c r="G13" s="3">
        <f>G10+G11-G12</f>
        <v/>
      </c>
    </row>
    <row r="14">
      <c r="A14" t="inlineStr">
        <is>
          <t>Interest Rate</t>
        </is>
      </c>
      <c r="B14" s="4" t="n"/>
      <c r="C14" s="4" t="n"/>
      <c r="D14" s="4" t="n"/>
      <c r="E14" s="4" t="n"/>
      <c r="F14" s="4" t="n"/>
      <c r="G14" s="4" t="n"/>
    </row>
    <row r="15">
      <c r="A15" t="inlineStr">
        <is>
          <t>Interest Expense</t>
        </is>
      </c>
      <c r="B15" s="3">
        <f>B10*B14</f>
        <v/>
      </c>
      <c r="C15" s="3">
        <f>C10*C14</f>
        <v/>
      </c>
      <c r="D15" s="3">
        <f>D10*D14</f>
        <v/>
      </c>
      <c r="E15" s="3">
        <f>E10*E14</f>
        <v/>
      </c>
      <c r="F15" s="3">
        <f>F10*F14</f>
        <v/>
      </c>
      <c r="G15" s="3">
        <f>G10*G14</f>
        <v/>
      </c>
    </row>
    <row r="16">
      <c r="A16" t="inlineStr">
        <is>
          <t>Total Interest Expense</t>
        </is>
      </c>
      <c r="B16" s="3">
        <f>B8+B15</f>
        <v/>
      </c>
      <c r="C16" s="3">
        <f>C8+C15</f>
        <v/>
      </c>
      <c r="D16" s="3">
        <f>D8+D15</f>
        <v/>
      </c>
      <c r="E16" s="3">
        <f>E8+E15</f>
        <v/>
      </c>
      <c r="F16" s="3">
        <f>F8+F15</f>
        <v/>
      </c>
      <c r="G16" s="3">
        <f>G8+G15</f>
        <v/>
      </c>
    </row>
    <row r="17">
      <c r="A17" t="inlineStr">
        <is>
          <t>Total Ending Debt</t>
        </is>
      </c>
      <c r="B17" s="3">
        <f>B6+B13</f>
        <v/>
      </c>
      <c r="C17" s="3">
        <f>C6+C13</f>
        <v/>
      </c>
      <c r="D17" s="3">
        <f>D6+D13</f>
        <v/>
      </c>
      <c r="E17" s="3">
        <f>E6+E13</f>
        <v/>
      </c>
      <c r="F17" s="3">
        <f>F6+F13</f>
        <v/>
      </c>
      <c r="G17" s="3">
        <f>G6+G13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Entry EV</t>
        </is>
      </c>
      <c r="B2" s="2" t="n"/>
    </row>
    <row r="3">
      <c r="A3" t="inlineStr">
        <is>
          <t>Exit Multiple</t>
        </is>
      </c>
      <c r="B3" s="5" t="n"/>
    </row>
    <row r="4">
      <c r="A4" t="inlineStr">
        <is>
          <t>Exit EV</t>
        </is>
      </c>
      <c r="B4" s="3">
        <f>'Income Statement'!G6*B3</f>
        <v/>
      </c>
    </row>
    <row r="5">
      <c r="A5" t="inlineStr">
        <is>
          <t>Net Debt at Exit</t>
        </is>
      </c>
      <c r="B5" s="3">
        <f>'Debt Schedule'!G17</f>
        <v/>
      </c>
    </row>
    <row r="6">
      <c r="A6" t="inlineStr">
        <is>
          <t>Exit Equity</t>
        </is>
      </c>
      <c r="B6" s="3">
        <f>B4-B5</f>
        <v/>
      </c>
    </row>
    <row r="7">
      <c r="A7" t="inlineStr">
        <is>
          <t>Equity Invested</t>
        </is>
      </c>
      <c r="B7" s="2" t="n"/>
    </row>
    <row r="8">
      <c r="A8" t="inlineStr">
        <is>
          <t>MOIC</t>
        </is>
      </c>
      <c r="B8" s="6">
        <f>B6/B7</f>
        <v/>
      </c>
    </row>
    <row r="9">
      <c r="A9" t="inlineStr">
        <is>
          <t>IRR</t>
        </is>
      </c>
      <c r="B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2026-04-07T14:29:40Z</dcterms:created>
  <dcterms:modified xsi:type="dcterms:W3CDTF">2026-04-07T14:29:40Z</dcterms:modified>
</cp:coreProperties>
</file>