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;($#,##0);&quot;-&quot;"/>
    <numFmt numFmtId="165" formatCode="0.0%;(0.0%);&quot;-&quot;"/>
    <numFmt numFmtId="166" formatCode="#,##0;(#,##0);&quot;-&quot;"/>
    <numFmt numFmtId="167" formatCode="$#,##0.00"/>
    <numFmt numFmtId="168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FFFFFF"/>
      <sz val="10"/>
    </font>
    <font>
      <name val="Calibri"/>
      <sz val="10"/>
    </font>
    <font>
      <name val="Calibri"/>
      <color rgb="000000FF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1F3864"/>
      <sz val="10"/>
    </font>
    <font>
      <name val="Calibri"/>
      <color rgb="00008000"/>
      <sz val="10"/>
    </font>
  </fonts>
  <fills count="7">
    <fill>
      <patternFill/>
    </fill>
    <fill>
      <patternFill patternType="gray125"/>
    </fill>
    <fill>
      <patternFill patternType="solid">
        <fgColor rgb="00EEF3FF"/>
      </patternFill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C5D9F1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top style="medium">
        <color rgb="002F5496"/>
      </top>
    </border>
    <border>
      <bottom style="thin">
        <color rgb="00BDD7EE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164" fontId="4" fillId="0" borderId="0" pivotButton="0" quotePrefix="0" xfId="0"/>
    <xf numFmtId="0" fontId="5" fillId="0" borderId="1" applyAlignment="1" pivotButton="0" quotePrefix="0" xfId="0">
      <alignment horizontal="left" vertical="center" indent="1"/>
    </xf>
    <xf numFmtId="164" fontId="6" fillId="0" borderId="1" pivotButton="0" quotePrefix="0" xfId="0"/>
    <xf numFmtId="165" fontId="6" fillId="0" borderId="0" pivotButton="0" quotePrefix="0" xfId="0"/>
    <xf numFmtId="164" fontId="6" fillId="0" borderId="0" pivotButton="0" quotePrefix="0" xfId="0"/>
    <xf numFmtId="165" fontId="4" fillId="0" borderId="0" pivotButton="0" quotePrefix="0" xfId="0"/>
    <xf numFmtId="167" fontId="6" fillId="0" borderId="0" pivotButton="0" quotePrefix="0" xfId="0"/>
    <xf numFmtId="166" fontId="4" fillId="0" borderId="0" pivotButton="0" quotePrefix="0" xfId="0"/>
    <xf numFmtId="0" fontId="7" fillId="4" borderId="2" pivotButton="0" quotePrefix="0" xfId="0"/>
    <xf numFmtId="0" fontId="0" fillId="4" borderId="2" pivotButton="0" quotePrefix="0" xfId="0"/>
    <xf numFmtId="0" fontId="3" fillId="0" borderId="0" applyAlignment="1" pivotButton="0" quotePrefix="0" xfId="0">
      <alignment horizontal="left" vertical="center" indent="2"/>
    </xf>
    <xf numFmtId="164" fontId="8" fillId="0" borderId="0" pivotButton="0" quotePrefix="0" xfId="0"/>
    <xf numFmtId="0" fontId="5" fillId="0" borderId="1" applyAlignment="1" pivotButton="0" quotePrefix="0" xfId="0">
      <alignment horizontal="left" vertical="center" indent="2"/>
    </xf>
    <xf numFmtId="0" fontId="5" fillId="0" borderId="0" applyAlignment="1" pivotButton="0" quotePrefix="0" xfId="0">
      <alignment horizontal="left" vertical="center" indent="2"/>
    </xf>
    <xf numFmtId="166" fontId="6" fillId="0" borderId="0" pivotButton="0" quotePrefix="0" xfId="0"/>
    <xf numFmtId="0" fontId="7" fillId="5" borderId="2" pivotButton="0" quotePrefix="0" xfId="0"/>
    <xf numFmtId="0" fontId="0" fillId="5" borderId="2" pivotButton="0" quotePrefix="0" xfId="0"/>
    <xf numFmtId="168" fontId="6" fillId="0" borderId="0" pivotButton="0" quotePrefix="0" xfId="0"/>
    <xf numFmtId="0" fontId="7" fillId="6" borderId="2" pivotButton="0" quotePrefix="0" xfId="0"/>
    <xf numFmtId="0" fontId="0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3-Statement Model — Income Statement  ($mm)</t>
        </is>
      </c>
    </row>
    <row r="2" ht="18" customHeight="1">
      <c r="A2" s="2" t="inlineStr">
        <is>
          <t>Line Item</t>
        </is>
      </c>
      <c r="B2" s="3" t="inlineStr">
        <is>
          <t>FY2020</t>
        </is>
      </c>
      <c r="C2" s="3" t="inlineStr">
        <is>
          <t>FY2021</t>
        </is>
      </c>
      <c r="D2" s="3" t="inlineStr">
        <is>
          <t>FY2022</t>
        </is>
      </c>
      <c r="E2" s="3" t="inlineStr">
        <is>
          <t>FY2023</t>
        </is>
      </c>
      <c r="F2" s="3" t="inlineStr">
        <is>
          <t>FY2024</t>
        </is>
      </c>
      <c r="G2" s="3" t="inlineStr">
        <is>
          <t>FY2025</t>
        </is>
      </c>
    </row>
    <row r="4">
      <c r="A4" s="4" t="inlineStr">
        <is>
          <t>Revenue</t>
        </is>
      </c>
      <c r="B4" s="5" t="n"/>
      <c r="C4" s="5" t="n"/>
      <c r="D4" s="5" t="n"/>
      <c r="E4" s="5" t="n"/>
      <c r="F4" s="5" t="n"/>
      <c r="G4" s="5" t="n"/>
    </row>
    <row r="5">
      <c r="A5" s="4" t="inlineStr">
        <is>
          <t>Cost of Goods Sold</t>
        </is>
      </c>
      <c r="B5" s="5" t="n"/>
      <c r="C5" s="5" t="n"/>
      <c r="D5" s="5" t="n"/>
      <c r="E5" s="5" t="n"/>
      <c r="F5" s="5" t="n"/>
      <c r="G5" s="5" t="n"/>
    </row>
    <row r="6">
      <c r="A6" s="6" t="inlineStr">
        <is>
          <t>Gross Profit</t>
        </is>
      </c>
      <c r="B6" s="7">
        <f>B4-B5</f>
        <v/>
      </c>
      <c r="C6" s="7">
        <f>C4-C5</f>
        <v/>
      </c>
      <c r="D6" s="7">
        <f>D4-D5</f>
        <v/>
      </c>
      <c r="E6" s="7">
        <f>E4-E5</f>
        <v/>
      </c>
      <c r="F6" s="7">
        <f>F4-F5</f>
        <v/>
      </c>
      <c r="G6" s="7">
        <f>G4-G5</f>
        <v/>
      </c>
    </row>
    <row r="7">
      <c r="A7" s="4" t="inlineStr">
        <is>
          <t xml:space="preserve">  Gross Margin %</t>
        </is>
      </c>
      <c r="B7" s="8">
        <f>IFERROR(B6/B4,0)</f>
        <v/>
      </c>
      <c r="C7" s="8">
        <f>IFERROR(C6/C4,0)</f>
        <v/>
      </c>
      <c r="D7" s="8">
        <f>IFERROR(D6/D4,0)</f>
        <v/>
      </c>
      <c r="E7" s="8">
        <f>IFERROR(E6/E4,0)</f>
        <v/>
      </c>
      <c r="F7" s="8">
        <f>IFERROR(F6/F4,0)</f>
        <v/>
      </c>
      <c r="G7" s="8">
        <f>IFERROR(G6/G4,0)</f>
        <v/>
      </c>
    </row>
    <row r="9">
      <c r="A9" s="4" t="inlineStr">
        <is>
          <t>Selling, General &amp; Administrative</t>
        </is>
      </c>
      <c r="B9" s="5" t="n"/>
      <c r="C9" s="5" t="n"/>
      <c r="D9" s="5" t="n"/>
      <c r="E9" s="5" t="n"/>
      <c r="F9" s="5" t="n"/>
      <c r="G9" s="5" t="n"/>
    </row>
    <row r="10">
      <c r="A10" s="4" t="inlineStr">
        <is>
          <t>Research &amp; Development</t>
        </is>
      </c>
      <c r="B10" s="5" t="n"/>
      <c r="C10" s="5" t="n"/>
      <c r="D10" s="5" t="n"/>
      <c r="E10" s="5" t="n"/>
      <c r="F10" s="5" t="n"/>
      <c r="G10" s="5" t="n"/>
    </row>
    <row r="11">
      <c r="A11" s="4" t="inlineStr">
        <is>
          <t>Other Operating Expenses</t>
        </is>
      </c>
      <c r="B11" s="5" t="n"/>
      <c r="C11" s="5" t="n"/>
      <c r="D11" s="5" t="n"/>
      <c r="E11" s="5" t="n"/>
      <c r="F11" s="5" t="n"/>
      <c r="G11" s="5" t="n"/>
    </row>
    <row r="12">
      <c r="A12" s="4" t="inlineStr">
        <is>
          <t xml:space="preserve">  Total Operating Expenses</t>
        </is>
      </c>
      <c r="B12" s="9">
        <f>B9+B10+B11</f>
        <v/>
      </c>
      <c r="C12" s="9">
        <f>C9+C10+C11</f>
        <v/>
      </c>
      <c r="D12" s="9">
        <f>D9+D10+D11</f>
        <v/>
      </c>
      <c r="E12" s="9">
        <f>E9+E10+E11</f>
        <v/>
      </c>
      <c r="F12" s="9">
        <f>F9+F10+F11</f>
        <v/>
      </c>
      <c r="G12" s="9">
        <f>G9+G10+G11</f>
        <v/>
      </c>
    </row>
    <row r="14">
      <c r="A14" s="6" t="inlineStr">
        <is>
          <t>EBITDA</t>
        </is>
      </c>
      <c r="B14" s="7">
        <f>B6-B12</f>
        <v/>
      </c>
      <c r="C14" s="7">
        <f>C6-C12</f>
        <v/>
      </c>
      <c r="D14" s="7">
        <f>D6-D12</f>
        <v/>
      </c>
      <c r="E14" s="7">
        <f>E6-E12</f>
        <v/>
      </c>
      <c r="F14" s="7">
        <f>F6-F12</f>
        <v/>
      </c>
      <c r="G14" s="7">
        <f>G6-G12</f>
        <v/>
      </c>
    </row>
    <row r="15">
      <c r="A15" s="4" t="inlineStr">
        <is>
          <t xml:space="preserve">  EBITDA Margin %</t>
        </is>
      </c>
      <c r="B15" s="8">
        <f>IFERROR(B14/B4,0)</f>
        <v/>
      </c>
      <c r="C15" s="8">
        <f>IFERROR(C14/C4,0)</f>
        <v/>
      </c>
      <c r="D15" s="8">
        <f>IFERROR(D14/D4,0)</f>
        <v/>
      </c>
      <c r="E15" s="8">
        <f>IFERROR(E14/E4,0)</f>
        <v/>
      </c>
      <c r="F15" s="8">
        <f>IFERROR(F14/F4,0)</f>
        <v/>
      </c>
      <c r="G15" s="8">
        <f>IFERROR(G14/G4,0)</f>
        <v/>
      </c>
    </row>
    <row r="17">
      <c r="A17" s="4" t="inlineStr">
        <is>
          <t>Depreciation &amp; Amortization</t>
        </is>
      </c>
      <c r="B17" s="5" t="n"/>
      <c r="C17" s="5" t="n"/>
      <c r="D17" s="5" t="n"/>
      <c r="E17" s="5" t="n"/>
      <c r="F17" s="5" t="n"/>
      <c r="G17" s="5" t="n"/>
    </row>
    <row r="18">
      <c r="A18" s="6" t="inlineStr">
        <is>
          <t>EBIT</t>
        </is>
      </c>
      <c r="B18" s="7">
        <f>B14-B17</f>
        <v/>
      </c>
      <c r="C18" s="7">
        <f>C14-C17</f>
        <v/>
      </c>
      <c r="D18" s="7">
        <f>D14-D17</f>
        <v/>
      </c>
      <c r="E18" s="7">
        <f>E14-E17</f>
        <v/>
      </c>
      <c r="F18" s="7">
        <f>F14-F17</f>
        <v/>
      </c>
      <c r="G18" s="7">
        <f>G14-G17</f>
        <v/>
      </c>
    </row>
    <row r="19">
      <c r="A19" s="4" t="inlineStr">
        <is>
          <t xml:space="preserve">  EBIT Margin %</t>
        </is>
      </c>
      <c r="B19" s="8">
        <f>IFERROR(B18/B4,0)</f>
        <v/>
      </c>
      <c r="C19" s="8">
        <f>IFERROR(C18/C4,0)</f>
        <v/>
      </c>
      <c r="D19" s="8">
        <f>IFERROR(D18/D4,0)</f>
        <v/>
      </c>
      <c r="E19" s="8">
        <f>IFERROR(E18/E4,0)</f>
        <v/>
      </c>
      <c r="F19" s="8">
        <f>IFERROR(F18/F4,0)</f>
        <v/>
      </c>
      <c r="G19" s="8">
        <f>IFERROR(G18/G4,0)</f>
        <v/>
      </c>
    </row>
    <row r="21">
      <c r="A21" s="4" t="inlineStr">
        <is>
          <t>Interest Income</t>
        </is>
      </c>
      <c r="B21" s="5" t="n"/>
      <c r="C21" s="5" t="n"/>
      <c r="D21" s="5" t="n"/>
      <c r="E21" s="5" t="n"/>
      <c r="F21" s="5" t="n"/>
      <c r="G21" s="5" t="n"/>
    </row>
    <row r="22">
      <c r="A22" s="4" t="inlineStr">
        <is>
          <t>Interest Expense</t>
        </is>
      </c>
      <c r="B22" s="5" t="n"/>
      <c r="C22" s="5" t="n"/>
      <c r="D22" s="5" t="n"/>
      <c r="E22" s="5" t="n"/>
      <c r="F22" s="5" t="n"/>
      <c r="G22" s="5" t="n"/>
    </row>
    <row r="23">
      <c r="A23" s="4" t="inlineStr">
        <is>
          <t xml:space="preserve">  Net Interest Expense</t>
        </is>
      </c>
      <c r="B23" s="9">
        <f>B22-B21</f>
        <v/>
      </c>
      <c r="C23" s="9">
        <f>C22-C21</f>
        <v/>
      </c>
      <c r="D23" s="9">
        <f>D22-D21</f>
        <v/>
      </c>
      <c r="E23" s="9">
        <f>E22-E21</f>
        <v/>
      </c>
      <c r="F23" s="9">
        <f>F22-F21</f>
        <v/>
      </c>
      <c r="G23" s="9">
        <f>G22-G21</f>
        <v/>
      </c>
    </row>
    <row r="25">
      <c r="A25" s="6" t="inlineStr">
        <is>
          <t>Earnings Before Tax</t>
        </is>
      </c>
      <c r="B25" s="7">
        <f>B18-B23</f>
        <v/>
      </c>
      <c r="C25" s="7">
        <f>C18-C23</f>
        <v/>
      </c>
      <c r="D25" s="7">
        <f>D18-D23</f>
        <v/>
      </c>
      <c r="E25" s="7">
        <f>E18-E23</f>
        <v/>
      </c>
      <c r="F25" s="7">
        <f>F18-F23</f>
        <v/>
      </c>
      <c r="G25" s="7">
        <f>G18-G23</f>
        <v/>
      </c>
    </row>
    <row r="26">
      <c r="A26" s="4" t="inlineStr">
        <is>
          <t>Effective Tax Rate</t>
        </is>
      </c>
      <c r="B26" s="10" t="n"/>
      <c r="C26" s="10" t="n"/>
      <c r="D26" s="10" t="n"/>
      <c r="E26" s="10" t="n"/>
      <c r="F26" s="10" t="n"/>
      <c r="G26" s="10" t="n"/>
    </row>
    <row r="27">
      <c r="A27" s="4" t="inlineStr">
        <is>
          <t>Income Tax Expense</t>
        </is>
      </c>
      <c r="B27" s="9">
        <f>MAX(B25*B26,0)</f>
        <v/>
      </c>
      <c r="C27" s="9">
        <f>MAX(C25*C26,0)</f>
        <v/>
      </c>
      <c r="D27" s="9">
        <f>MAX(D25*D26,0)</f>
        <v/>
      </c>
      <c r="E27" s="9">
        <f>MAX(E25*E26,0)</f>
        <v/>
      </c>
      <c r="F27" s="9">
        <f>MAX(F25*F26,0)</f>
        <v/>
      </c>
      <c r="G27" s="9">
        <f>MAX(G25*G26,0)</f>
        <v/>
      </c>
    </row>
    <row r="29">
      <c r="A29" s="6" t="inlineStr">
        <is>
          <t>Net Income</t>
        </is>
      </c>
      <c r="B29" s="7">
        <f>B25-B27</f>
        <v/>
      </c>
      <c r="C29" s="7">
        <f>C25-C27</f>
        <v/>
      </c>
      <c r="D29" s="7">
        <f>D25-D27</f>
        <v/>
      </c>
      <c r="E29" s="7">
        <f>E25-E27</f>
        <v/>
      </c>
      <c r="F29" s="7">
        <f>F25-F27</f>
        <v/>
      </c>
      <c r="G29" s="7">
        <f>G25-G27</f>
        <v/>
      </c>
    </row>
    <row r="30">
      <c r="A30" s="4" t="inlineStr">
        <is>
          <t xml:space="preserve">  Net Margin %</t>
        </is>
      </c>
      <c r="B30" s="8">
        <f>IFERROR(B29/B4,0)</f>
        <v/>
      </c>
      <c r="C30" s="8">
        <f>IFERROR(C29/C4,0)</f>
        <v/>
      </c>
      <c r="D30" s="8">
        <f>IFERROR(D29/D4,0)</f>
        <v/>
      </c>
      <c r="E30" s="8">
        <f>IFERROR(E29/E4,0)</f>
        <v/>
      </c>
      <c r="F30" s="8">
        <f>IFERROR(F29/F4,0)</f>
        <v/>
      </c>
      <c r="G30" s="8">
        <f>IFERROR(G29/G4,0)</f>
        <v/>
      </c>
    </row>
    <row r="32">
      <c r="A32" s="4" t="inlineStr">
        <is>
          <t>Diluted EPS  ($)</t>
        </is>
      </c>
      <c r="B32" s="11">
        <f>IFERROR(B29/B33,0)</f>
        <v/>
      </c>
      <c r="C32" s="11">
        <f>IFERROR(C29/C33,0)</f>
        <v/>
      </c>
      <c r="D32" s="11">
        <f>IFERROR(D29/D33,0)</f>
        <v/>
      </c>
      <c r="E32" s="11">
        <f>IFERROR(E29/E33,0)</f>
        <v/>
      </c>
      <c r="F32" s="11">
        <f>IFERROR(F29/F33,0)</f>
        <v/>
      </c>
      <c r="G32" s="11">
        <f>IFERROR(G29/G33,0)</f>
        <v/>
      </c>
    </row>
    <row r="33">
      <c r="A33" s="4" t="inlineStr">
        <is>
          <t>Diluted Shares Outstanding  (mm)</t>
        </is>
      </c>
      <c r="B33" s="12" t="n"/>
      <c r="C33" s="12" t="n"/>
      <c r="D33" s="12" t="n"/>
      <c r="E33" s="12" t="n"/>
      <c r="F33" s="12" t="n"/>
      <c r="G33" s="12" t="n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3-Statement Model — Balance Sheet  ($mm)</t>
        </is>
      </c>
    </row>
    <row r="2" ht="18" customHeight="1">
      <c r="A2" s="2" t="inlineStr">
        <is>
          <t>Line Item</t>
        </is>
      </c>
      <c r="B2" s="3" t="inlineStr">
        <is>
          <t>FY2020</t>
        </is>
      </c>
      <c r="C2" s="3" t="inlineStr">
        <is>
          <t>FY2021</t>
        </is>
      </c>
      <c r="D2" s="3" t="inlineStr">
        <is>
          <t>FY2022</t>
        </is>
      </c>
      <c r="E2" s="3" t="inlineStr">
        <is>
          <t>FY2023</t>
        </is>
      </c>
      <c r="F2" s="3" t="inlineStr">
        <is>
          <t>FY2024</t>
        </is>
      </c>
      <c r="G2" s="3" t="inlineStr">
        <is>
          <t>FY2025</t>
        </is>
      </c>
    </row>
    <row r="4" ht="16" customHeight="1">
      <c r="A4" s="13" t="inlineStr">
        <is>
          <t>ASSETS</t>
        </is>
      </c>
      <c r="B4" s="14" t="n"/>
      <c r="C4" s="14" t="n"/>
      <c r="D4" s="14" t="n"/>
      <c r="E4" s="14" t="n"/>
      <c r="F4" s="14" t="n"/>
      <c r="G4" s="14" t="n"/>
    </row>
    <row r="5">
      <c r="A5" s="15" t="inlineStr">
        <is>
          <t>Cash &amp; Cash Equivalents</t>
        </is>
      </c>
      <c r="B5" s="16">
        <f>'Cash Flow'!B36</f>
        <v/>
      </c>
      <c r="C5" s="16">
        <f>'Cash Flow'!C36</f>
        <v/>
      </c>
      <c r="D5" s="16">
        <f>'Cash Flow'!D36</f>
        <v/>
      </c>
      <c r="E5" s="16">
        <f>'Cash Flow'!E36</f>
        <v/>
      </c>
      <c r="F5" s="16">
        <f>'Cash Flow'!F36</f>
        <v/>
      </c>
      <c r="G5" s="16">
        <f>'Cash Flow'!G36</f>
        <v/>
      </c>
    </row>
    <row r="6">
      <c r="A6" s="15" t="inlineStr">
        <is>
          <t>Accounts Receivable, Net</t>
        </is>
      </c>
      <c r="B6" s="5" t="n"/>
      <c r="C6" s="5" t="n"/>
      <c r="D6" s="5" t="n"/>
      <c r="E6" s="5" t="n"/>
      <c r="F6" s="5" t="n"/>
      <c r="G6" s="5" t="n"/>
    </row>
    <row r="7">
      <c r="A7" s="15" t="inlineStr">
        <is>
          <t>Inventory</t>
        </is>
      </c>
      <c r="B7" s="5" t="n"/>
      <c r="C7" s="5" t="n"/>
      <c r="D7" s="5" t="n"/>
      <c r="E7" s="5" t="n"/>
      <c r="F7" s="5" t="n"/>
      <c r="G7" s="5" t="n"/>
    </row>
    <row r="8">
      <c r="A8" s="15" t="inlineStr">
        <is>
          <t>Prepaid Expenses</t>
        </is>
      </c>
      <c r="B8" s="5" t="n"/>
      <c r="C8" s="5" t="n"/>
      <c r="D8" s="5" t="n"/>
      <c r="E8" s="5" t="n"/>
      <c r="F8" s="5" t="n"/>
      <c r="G8" s="5" t="n"/>
    </row>
    <row r="9">
      <c r="A9" s="15" t="inlineStr">
        <is>
          <t>Other Current Assets</t>
        </is>
      </c>
      <c r="B9" s="5" t="n"/>
      <c r="C9" s="5" t="n"/>
      <c r="D9" s="5" t="n"/>
      <c r="E9" s="5" t="n"/>
      <c r="F9" s="5" t="n"/>
      <c r="G9" s="5" t="n"/>
    </row>
    <row r="10">
      <c r="A10" s="17" t="inlineStr">
        <is>
          <t>Total Current Assets</t>
        </is>
      </c>
      <c r="B10" s="7">
        <f>SUM(B5:B9)</f>
        <v/>
      </c>
      <c r="C10" s="7">
        <f>SUM(C5:C9)</f>
        <v/>
      </c>
      <c r="D10" s="7">
        <f>SUM(D5:D9)</f>
        <v/>
      </c>
      <c r="E10" s="7">
        <f>SUM(E5:E9)</f>
        <v/>
      </c>
      <c r="F10" s="7">
        <f>SUM(F5:F9)</f>
        <v/>
      </c>
      <c r="G10" s="7">
        <f>SUM(G5:G9)</f>
        <v/>
      </c>
    </row>
    <row r="12">
      <c r="A12" s="15" t="inlineStr">
        <is>
          <t>PP&amp;E, Gross</t>
        </is>
      </c>
      <c r="B12" s="5" t="n"/>
      <c r="C12" s="5" t="n"/>
      <c r="D12" s="5" t="n"/>
      <c r="E12" s="5" t="n"/>
      <c r="F12" s="5" t="n"/>
      <c r="G12" s="5" t="n"/>
    </row>
    <row r="13">
      <c r="A13" s="15" t="inlineStr">
        <is>
          <t>Less: Accumulated Depreciation</t>
        </is>
      </c>
      <c r="B13" s="5" t="n"/>
      <c r="C13" s="5" t="n"/>
      <c r="D13" s="5" t="n"/>
      <c r="E13" s="5" t="n"/>
      <c r="F13" s="5" t="n"/>
      <c r="G13" s="5" t="n"/>
    </row>
    <row r="14">
      <c r="A14" s="15" t="inlineStr">
        <is>
          <t>PP&amp;E, Net</t>
        </is>
      </c>
      <c r="B14" s="9">
        <f>B12-B13</f>
        <v/>
      </c>
      <c r="C14" s="9">
        <f>C12-C13</f>
        <v/>
      </c>
      <c r="D14" s="9">
        <f>D12-D13</f>
        <v/>
      </c>
      <c r="E14" s="9">
        <f>E12-E13</f>
        <v/>
      </c>
      <c r="F14" s="9">
        <f>F12-F13</f>
        <v/>
      </c>
      <c r="G14" s="9">
        <f>G12-G13</f>
        <v/>
      </c>
    </row>
    <row r="15">
      <c r="A15" s="15" t="inlineStr">
        <is>
          <t>Goodwill</t>
        </is>
      </c>
      <c r="B15" s="5" t="n"/>
      <c r="C15" s="5" t="n"/>
      <c r="D15" s="5" t="n"/>
      <c r="E15" s="5" t="n"/>
      <c r="F15" s="5" t="n"/>
      <c r="G15" s="5" t="n"/>
    </row>
    <row r="16">
      <c r="A16" s="15" t="inlineStr">
        <is>
          <t>Intangible Assets, Net</t>
        </is>
      </c>
      <c r="B16" s="5" t="n"/>
      <c r="C16" s="5" t="n"/>
      <c r="D16" s="5" t="n"/>
      <c r="E16" s="5" t="n"/>
      <c r="F16" s="5" t="n"/>
      <c r="G16" s="5" t="n"/>
    </row>
    <row r="17">
      <c r="A17" s="15" t="inlineStr">
        <is>
          <t>Deferred Tax Assets</t>
        </is>
      </c>
      <c r="B17" s="5" t="n"/>
      <c r="C17" s="5" t="n"/>
      <c r="D17" s="5" t="n"/>
      <c r="E17" s="5" t="n"/>
      <c r="F17" s="5" t="n"/>
      <c r="G17" s="5" t="n"/>
    </row>
    <row r="18">
      <c r="A18" s="15" t="inlineStr">
        <is>
          <t>Other Long-Term Assets</t>
        </is>
      </c>
      <c r="B18" s="5" t="n"/>
      <c r="C18" s="5" t="n"/>
      <c r="D18" s="5" t="n"/>
      <c r="E18" s="5" t="n"/>
      <c r="F18" s="5" t="n"/>
      <c r="G18" s="5" t="n"/>
    </row>
    <row r="19">
      <c r="A19" s="18" t="inlineStr">
        <is>
          <t>Total Non-Current Assets</t>
        </is>
      </c>
      <c r="B19" s="9">
        <f>B14+B15+B16+B17+B18</f>
        <v/>
      </c>
      <c r="C19" s="9">
        <f>C14+C15+C16+C17+C18</f>
        <v/>
      </c>
      <c r="D19" s="9">
        <f>D14+D15+D16+D17+D18</f>
        <v/>
      </c>
      <c r="E19" s="9">
        <f>E14+E15+E16+E17+E18</f>
        <v/>
      </c>
      <c r="F19" s="9">
        <f>F14+F15+F16+F17+F18</f>
        <v/>
      </c>
      <c r="G19" s="9">
        <f>G14+G15+G16+G17+G18</f>
        <v/>
      </c>
    </row>
    <row r="21">
      <c r="A21" s="17" t="inlineStr">
        <is>
          <t>TOTAL ASSETS</t>
        </is>
      </c>
      <c r="B21" s="7">
        <f>B10+B19</f>
        <v/>
      </c>
      <c r="C21" s="7">
        <f>C10+C19</f>
        <v/>
      </c>
      <c r="D21" s="7">
        <f>D10+D19</f>
        <v/>
      </c>
      <c r="E21" s="7">
        <f>E10+E19</f>
        <v/>
      </c>
      <c r="F21" s="7">
        <f>F10+F19</f>
        <v/>
      </c>
      <c r="G21" s="7">
        <f>G10+G19</f>
        <v/>
      </c>
    </row>
    <row r="23" ht="16" customHeight="1">
      <c r="A23" s="13" t="inlineStr">
        <is>
          <t>LIABILITIES</t>
        </is>
      </c>
      <c r="B23" s="14" t="n"/>
      <c r="C23" s="14" t="n"/>
      <c r="D23" s="14" t="n"/>
      <c r="E23" s="14" t="n"/>
      <c r="F23" s="14" t="n"/>
      <c r="G23" s="14" t="n"/>
    </row>
    <row r="24">
      <c r="A24" s="15" t="inlineStr">
        <is>
          <t>Accounts Payable</t>
        </is>
      </c>
      <c r="B24" s="5" t="n"/>
      <c r="C24" s="5" t="n"/>
      <c r="D24" s="5" t="n"/>
      <c r="E24" s="5" t="n"/>
      <c r="F24" s="5" t="n"/>
      <c r="G24" s="5" t="n"/>
    </row>
    <row r="25">
      <c r="A25" s="15" t="inlineStr">
        <is>
          <t>Accrued Liabilities &amp; Compensation</t>
        </is>
      </c>
      <c r="B25" s="5" t="n"/>
      <c r="C25" s="5" t="n"/>
      <c r="D25" s="5" t="n"/>
      <c r="E25" s="5" t="n"/>
      <c r="F25" s="5" t="n"/>
      <c r="G25" s="5" t="n"/>
    </row>
    <row r="26">
      <c r="A26" s="15" t="inlineStr">
        <is>
          <t>Deferred Revenue</t>
        </is>
      </c>
      <c r="B26" s="5" t="n"/>
      <c r="C26" s="5" t="n"/>
      <c r="D26" s="5" t="n"/>
      <c r="E26" s="5" t="n"/>
      <c r="F26" s="5" t="n"/>
      <c r="G26" s="5" t="n"/>
    </row>
    <row r="27">
      <c r="A27" s="15" t="inlineStr">
        <is>
          <t>Short-Term Debt &amp; Commercial Paper</t>
        </is>
      </c>
      <c r="B27" s="5" t="n"/>
      <c r="C27" s="5" t="n"/>
      <c r="D27" s="5" t="n"/>
      <c r="E27" s="5" t="n"/>
      <c r="F27" s="5" t="n"/>
      <c r="G27" s="5" t="n"/>
    </row>
    <row r="28">
      <c r="A28" s="15" t="inlineStr">
        <is>
          <t>Current Portion of Long-Term Debt</t>
        </is>
      </c>
      <c r="B28" s="5" t="n"/>
      <c r="C28" s="5" t="n"/>
      <c r="D28" s="5" t="n"/>
      <c r="E28" s="5" t="n"/>
      <c r="F28" s="5" t="n"/>
      <c r="G28" s="5" t="n"/>
    </row>
    <row r="29">
      <c r="A29" s="17" t="inlineStr">
        <is>
          <t>Total Current Liabilities</t>
        </is>
      </c>
      <c r="B29" s="7">
        <f>SUM(B24:B28)</f>
        <v/>
      </c>
      <c r="C29" s="7">
        <f>SUM(C24:C28)</f>
        <v/>
      </c>
      <c r="D29" s="7">
        <f>SUM(D24:D28)</f>
        <v/>
      </c>
      <c r="E29" s="7">
        <f>SUM(E24:E28)</f>
        <v/>
      </c>
      <c r="F29" s="7">
        <f>SUM(F24:F28)</f>
        <v/>
      </c>
      <c r="G29" s="7">
        <f>SUM(G24:G28)</f>
        <v/>
      </c>
    </row>
    <row r="31">
      <c r="A31" s="15" t="inlineStr">
        <is>
          <t>Long-Term Debt, Net of Current</t>
        </is>
      </c>
      <c r="B31" s="5" t="n"/>
      <c r="C31" s="5" t="n"/>
      <c r="D31" s="5" t="n"/>
      <c r="E31" s="5" t="n"/>
      <c r="F31" s="5" t="n"/>
      <c r="G31" s="5" t="n"/>
    </row>
    <row r="32">
      <c r="A32" s="15" t="inlineStr">
        <is>
          <t>Deferred Tax Liabilities</t>
        </is>
      </c>
      <c r="B32" s="5" t="n"/>
      <c r="C32" s="5" t="n"/>
      <c r="D32" s="5" t="n"/>
      <c r="E32" s="5" t="n"/>
      <c r="F32" s="5" t="n"/>
      <c r="G32" s="5" t="n"/>
    </row>
    <row r="33">
      <c r="A33" s="15" t="inlineStr">
        <is>
          <t>Other Long-Term Liabilities</t>
        </is>
      </c>
      <c r="B33" s="5" t="n"/>
      <c r="C33" s="5" t="n"/>
      <c r="D33" s="5" t="n"/>
      <c r="E33" s="5" t="n"/>
      <c r="F33" s="5" t="n"/>
      <c r="G33" s="5" t="n"/>
    </row>
    <row r="34">
      <c r="A34" s="18" t="inlineStr">
        <is>
          <t>Total Non-Current Liabilities</t>
        </is>
      </c>
      <c r="B34" s="9">
        <f>B31+B32+B33</f>
        <v/>
      </c>
      <c r="C34" s="9">
        <f>C31+C32+C33</f>
        <v/>
      </c>
      <c r="D34" s="9">
        <f>D31+D32+D33</f>
        <v/>
      </c>
      <c r="E34" s="9">
        <f>E31+E32+E33</f>
        <v/>
      </c>
      <c r="F34" s="9">
        <f>F31+F32+F33</f>
        <v/>
      </c>
      <c r="G34" s="9">
        <f>G31+G32+G33</f>
        <v/>
      </c>
    </row>
    <row r="36">
      <c r="A36" s="17" t="inlineStr">
        <is>
          <t>TOTAL LIABILITIES</t>
        </is>
      </c>
      <c r="B36" s="7">
        <f>B29+B34</f>
        <v/>
      </c>
      <c r="C36" s="7">
        <f>C29+C34</f>
        <v/>
      </c>
      <c r="D36" s="7">
        <f>D29+D34</f>
        <v/>
      </c>
      <c r="E36" s="7">
        <f>E29+E34</f>
        <v/>
      </c>
      <c r="F36" s="7">
        <f>F29+F34</f>
        <v/>
      </c>
      <c r="G36" s="7">
        <f>G29+G34</f>
        <v/>
      </c>
    </row>
    <row r="38" ht="16" customHeight="1">
      <c r="A38" s="13" t="inlineStr">
        <is>
          <t>SHAREHOLDERS' EQUITY</t>
        </is>
      </c>
      <c r="B38" s="14" t="n"/>
      <c r="C38" s="14" t="n"/>
      <c r="D38" s="14" t="n"/>
      <c r="E38" s="14" t="n"/>
      <c r="F38" s="14" t="n"/>
      <c r="G38" s="14" t="n"/>
    </row>
    <row r="39">
      <c r="A39" s="15" t="inlineStr">
        <is>
          <t>Common Stock &amp; Additional Paid-In Capital</t>
        </is>
      </c>
      <c r="B39" s="5" t="n"/>
      <c r="C39" s="5" t="n"/>
      <c r="D39" s="5" t="n"/>
      <c r="E39" s="5" t="n"/>
      <c r="F39" s="5" t="n"/>
      <c r="G39" s="5" t="n"/>
    </row>
    <row r="40">
      <c r="A40" s="15" t="inlineStr">
        <is>
          <t>Retained Earnings / (Accumulated Deficit)</t>
        </is>
      </c>
      <c r="B40" s="5" t="n"/>
      <c r="C40" s="16">
        <f>B40+'Income Statement'!C29</f>
        <v/>
      </c>
      <c r="D40" s="16">
        <f>C40+'Income Statement'!D29</f>
        <v/>
      </c>
      <c r="E40" s="16">
        <f>D40+'Income Statement'!E29</f>
        <v/>
      </c>
      <c r="F40" s="16">
        <f>E40+'Income Statement'!F29</f>
        <v/>
      </c>
      <c r="G40" s="16">
        <f>F40+'Income Statement'!G29</f>
        <v/>
      </c>
    </row>
    <row r="41">
      <c r="A41" s="15" t="inlineStr">
        <is>
          <t>Treasury Stock  (at cost)</t>
        </is>
      </c>
      <c r="B41" s="5" t="n"/>
      <c r="C41" s="5" t="n"/>
      <c r="D41" s="5" t="n"/>
      <c r="E41" s="5" t="n"/>
      <c r="F41" s="5" t="n"/>
      <c r="G41" s="5" t="n"/>
    </row>
    <row r="42">
      <c r="A42" s="15" t="inlineStr">
        <is>
          <t>Accumulated OCI  (Loss)</t>
        </is>
      </c>
      <c r="B42" s="5" t="n"/>
      <c r="C42" s="5" t="n"/>
      <c r="D42" s="5" t="n"/>
      <c r="E42" s="5" t="n"/>
      <c r="F42" s="5" t="n"/>
      <c r="G42" s="5" t="n"/>
    </row>
    <row r="43">
      <c r="A43" s="17" t="inlineStr">
        <is>
          <t>Total Shareholders' Equity</t>
        </is>
      </c>
      <c r="B43" s="7">
        <f>B39+B40-B41+B42</f>
        <v/>
      </c>
      <c r="C43" s="7">
        <f>C39+C40-C41+C42</f>
        <v/>
      </c>
      <c r="D43" s="7">
        <f>D39+D40-D41+D42</f>
        <v/>
      </c>
      <c r="E43" s="7">
        <f>E39+E40-E41+E42</f>
        <v/>
      </c>
      <c r="F43" s="7">
        <f>F39+F40-F41+F42</f>
        <v/>
      </c>
      <c r="G43" s="7">
        <f>G39+G40-G41+G42</f>
        <v/>
      </c>
    </row>
    <row r="45">
      <c r="A45" s="17" t="inlineStr">
        <is>
          <t>TOTAL LIABILITIES + EQUITY</t>
        </is>
      </c>
      <c r="B45" s="7">
        <f>B36+B43</f>
        <v/>
      </c>
      <c r="C45" s="7">
        <f>C36+C43</f>
        <v/>
      </c>
      <c r="D45" s="7">
        <f>D36+D43</f>
        <v/>
      </c>
      <c r="E45" s="7">
        <f>E36+E43</f>
        <v/>
      </c>
      <c r="F45" s="7">
        <f>F36+F43</f>
        <v/>
      </c>
      <c r="G45" s="7">
        <f>G36+G43</f>
        <v/>
      </c>
    </row>
    <row r="46">
      <c r="A46" s="15" t="inlineStr">
        <is>
          <t>Balance Check  (= 0 if balanced)</t>
        </is>
      </c>
      <c r="B46" s="19">
        <f>B21-B45</f>
        <v/>
      </c>
      <c r="C46" s="19">
        <f>C21-C45</f>
        <v/>
      </c>
      <c r="D46" s="19">
        <f>D21-D45</f>
        <v/>
      </c>
      <c r="E46" s="19">
        <f>E21-E45</f>
        <v/>
      </c>
      <c r="F46" s="19">
        <f>F21-F45</f>
        <v/>
      </c>
      <c r="G46" s="19">
        <f>G21-G45</f>
        <v/>
      </c>
    </row>
    <row r="48" ht="16" customHeight="1">
      <c r="A48" s="20" t="inlineStr">
        <is>
          <t>WORKING CAPITAL SCHEDULE</t>
        </is>
      </c>
      <c r="B48" s="21" t="n"/>
      <c r="C48" s="21" t="n"/>
      <c r="D48" s="21" t="n"/>
      <c r="E48" s="21" t="n"/>
      <c r="F48" s="21" t="n"/>
      <c r="G48" s="21" t="n"/>
    </row>
    <row r="49">
      <c r="A49" s="15" t="inlineStr">
        <is>
          <t xml:space="preserve">  Accounts Receivable</t>
        </is>
      </c>
      <c r="B49" s="16">
        <f>B6</f>
        <v/>
      </c>
      <c r="C49" s="16">
        <f>C6</f>
        <v/>
      </c>
      <c r="D49" s="16">
        <f>D6</f>
        <v/>
      </c>
      <c r="E49" s="16">
        <f>E6</f>
        <v/>
      </c>
      <c r="F49" s="16">
        <f>F6</f>
        <v/>
      </c>
      <c r="G49" s="16">
        <f>G6</f>
        <v/>
      </c>
    </row>
    <row r="50">
      <c r="A50" s="15" t="inlineStr">
        <is>
          <t xml:space="preserve">  Inventory</t>
        </is>
      </c>
      <c r="B50" s="16">
        <f>B7</f>
        <v/>
      </c>
      <c r="C50" s="16">
        <f>C7</f>
        <v/>
      </c>
      <c r="D50" s="16">
        <f>D7</f>
        <v/>
      </c>
      <c r="E50" s="16">
        <f>E7</f>
        <v/>
      </c>
      <c r="F50" s="16">
        <f>F7</f>
        <v/>
      </c>
      <c r="G50" s="16">
        <f>G7</f>
        <v/>
      </c>
    </row>
    <row r="51">
      <c r="A51" s="15" t="inlineStr">
        <is>
          <t xml:space="preserve">  Prepaid &amp; Other Current Assets</t>
        </is>
      </c>
      <c r="B51" s="16">
        <f>B8+B9</f>
        <v/>
      </c>
      <c r="C51" s="16">
        <f>C8+C9</f>
        <v/>
      </c>
      <c r="D51" s="16">
        <f>D8+D9</f>
        <v/>
      </c>
      <c r="E51" s="16">
        <f>E8+E9</f>
        <v/>
      </c>
      <c r="F51" s="16">
        <f>F8+F9</f>
        <v/>
      </c>
      <c r="G51" s="16">
        <f>G8+G9</f>
        <v/>
      </c>
    </row>
    <row r="52">
      <c r="A52" s="15" t="inlineStr">
        <is>
          <t xml:space="preserve">  Total CA  (ex. Cash)</t>
        </is>
      </c>
      <c r="B52" s="9">
        <f>B49+B50+B51</f>
        <v/>
      </c>
      <c r="C52" s="9">
        <f>C49+C50+C51</f>
        <v/>
      </c>
      <c r="D52" s="9">
        <f>D49+D50+D51</f>
        <v/>
      </c>
      <c r="E52" s="9">
        <f>E49+E50+E51</f>
        <v/>
      </c>
      <c r="F52" s="9">
        <f>F49+F50+F51</f>
        <v/>
      </c>
      <c r="G52" s="9">
        <f>G49+G50+G51</f>
        <v/>
      </c>
    </row>
    <row r="53">
      <c r="A53" s="15" t="inlineStr">
        <is>
          <t xml:space="preserve">  Accounts Payable</t>
        </is>
      </c>
      <c r="B53" s="16">
        <f>B24</f>
        <v/>
      </c>
      <c r="C53" s="16">
        <f>C24</f>
        <v/>
      </c>
      <c r="D53" s="16">
        <f>D24</f>
        <v/>
      </c>
      <c r="E53" s="16">
        <f>E24</f>
        <v/>
      </c>
      <c r="F53" s="16">
        <f>F24</f>
        <v/>
      </c>
      <c r="G53" s="16">
        <f>G24</f>
        <v/>
      </c>
    </row>
    <row r="54">
      <c r="A54" s="15" t="inlineStr">
        <is>
          <t xml:space="preserve">  Accrued Liabilities</t>
        </is>
      </c>
      <c r="B54" s="16">
        <f>B25</f>
        <v/>
      </c>
      <c r="C54" s="16">
        <f>C25</f>
        <v/>
      </c>
      <c r="D54" s="16">
        <f>D25</f>
        <v/>
      </c>
      <c r="E54" s="16">
        <f>E25</f>
        <v/>
      </c>
      <c r="F54" s="16">
        <f>F25</f>
        <v/>
      </c>
      <c r="G54" s="16">
        <f>G25</f>
        <v/>
      </c>
    </row>
    <row r="55">
      <c r="A55" s="15" t="inlineStr">
        <is>
          <t xml:space="preserve">  Deferred Revenue</t>
        </is>
      </c>
      <c r="B55" s="16">
        <f>B26</f>
        <v/>
      </c>
      <c r="C55" s="16">
        <f>C26</f>
        <v/>
      </c>
      <c r="D55" s="16">
        <f>D26</f>
        <v/>
      </c>
      <c r="E55" s="16">
        <f>E26</f>
        <v/>
      </c>
      <c r="F55" s="16">
        <f>F26</f>
        <v/>
      </c>
      <c r="G55" s="16">
        <f>G26</f>
        <v/>
      </c>
    </row>
    <row r="56">
      <c r="A56" s="15" t="inlineStr">
        <is>
          <t xml:space="preserve">  Total CL  (ex. Debt)</t>
        </is>
      </c>
      <c r="B56" s="9">
        <f>B53+B54+B55</f>
        <v/>
      </c>
      <c r="C56" s="9">
        <f>C53+C54+C55</f>
        <v/>
      </c>
      <c r="D56" s="9">
        <f>D53+D54+D55</f>
        <v/>
      </c>
      <c r="E56" s="9">
        <f>E53+E54+E55</f>
        <v/>
      </c>
      <c r="F56" s="9">
        <f>F53+F54+F55</f>
        <v/>
      </c>
      <c r="G56" s="9">
        <f>G53+G54+G55</f>
        <v/>
      </c>
    </row>
    <row r="57">
      <c r="A57" s="18" t="inlineStr">
        <is>
          <t>Net Working Capital  (NWC)</t>
        </is>
      </c>
      <c r="B57" s="9">
        <f>B52-B56</f>
        <v/>
      </c>
      <c r="C57" s="9">
        <f>C52-C56</f>
        <v/>
      </c>
      <c r="D57" s="9">
        <f>D52-D56</f>
        <v/>
      </c>
      <c r="E57" s="9">
        <f>E52-E56</f>
        <v/>
      </c>
      <c r="F57" s="9">
        <f>F52-F56</f>
        <v/>
      </c>
      <c r="G57" s="9">
        <f>G52-G56</f>
        <v/>
      </c>
    </row>
    <row r="58">
      <c r="A58" s="15" t="inlineStr">
        <is>
          <t xml:space="preserve">  Change in NWC</t>
        </is>
      </c>
      <c r="B58" s="9">
        <f>0</f>
        <v/>
      </c>
      <c r="C58" s="9">
        <f>C57-B57</f>
        <v/>
      </c>
      <c r="D58" s="9">
        <f>D57-C57</f>
        <v/>
      </c>
      <c r="E58" s="9">
        <f>E57-D57</f>
        <v/>
      </c>
      <c r="F58" s="9">
        <f>F57-E57</f>
        <v/>
      </c>
      <c r="G58" s="9">
        <f>G57-F57</f>
        <v/>
      </c>
    </row>
    <row r="59">
      <c r="A59" s="15" t="inlineStr">
        <is>
          <t xml:space="preserve">  NWC as % of Revenue</t>
        </is>
      </c>
      <c r="B59" s="8">
        <f>IFERROR(B57/'Income Statement'!B4,0)</f>
        <v/>
      </c>
      <c r="C59" s="8">
        <f>IFERROR(C57/'Income Statement'!C4,0)</f>
        <v/>
      </c>
      <c r="D59" s="8">
        <f>IFERROR(D57/'Income Statement'!D4,0)</f>
        <v/>
      </c>
      <c r="E59" s="8">
        <f>IFERROR(E57/'Income Statement'!E4,0)</f>
        <v/>
      </c>
      <c r="F59" s="8">
        <f>IFERROR(F57/'Income Statement'!F4,0)</f>
        <v/>
      </c>
      <c r="G59" s="8">
        <f>IFERROR(G57/'Income Statement'!G4,0)</f>
        <v/>
      </c>
    </row>
    <row r="61">
      <c r="A61" s="15" t="inlineStr">
        <is>
          <t>Days Sales Outstanding  (DSO)</t>
        </is>
      </c>
      <c r="B61" s="22">
        <f>IFERROR(B49/'Income Statement'!B4*365,0)</f>
        <v/>
      </c>
      <c r="C61" s="22">
        <f>IFERROR(C49/'Income Statement'!C4*365,0)</f>
        <v/>
      </c>
      <c r="D61" s="22">
        <f>IFERROR(D49/'Income Statement'!D4*365,0)</f>
        <v/>
      </c>
      <c r="E61" s="22">
        <f>IFERROR(E49/'Income Statement'!E4*365,0)</f>
        <v/>
      </c>
      <c r="F61" s="22">
        <f>IFERROR(F49/'Income Statement'!F4*365,0)</f>
        <v/>
      </c>
      <c r="G61" s="22">
        <f>IFERROR(G49/'Income Statement'!G4*365,0)</f>
        <v/>
      </c>
    </row>
    <row r="62">
      <c r="A62" s="15" t="inlineStr">
        <is>
          <t>Days Inventory Outstanding  (DIO)</t>
        </is>
      </c>
      <c r="B62" s="22">
        <f>IFERROR(B50/'Income Statement'!B5*365,0)</f>
        <v/>
      </c>
      <c r="C62" s="22">
        <f>IFERROR(C50/'Income Statement'!C5*365,0)</f>
        <v/>
      </c>
      <c r="D62" s="22">
        <f>IFERROR(D50/'Income Statement'!D5*365,0)</f>
        <v/>
      </c>
      <c r="E62" s="22">
        <f>IFERROR(E50/'Income Statement'!E5*365,0)</f>
        <v/>
      </c>
      <c r="F62" s="22">
        <f>IFERROR(F50/'Income Statement'!F5*365,0)</f>
        <v/>
      </c>
      <c r="G62" s="22">
        <f>IFERROR(G50/'Income Statement'!G5*365,0)</f>
        <v/>
      </c>
    </row>
    <row r="63">
      <c r="A63" s="15" t="inlineStr">
        <is>
          <t>Days Payable Outstanding  (DPO)</t>
        </is>
      </c>
      <c r="B63" s="22">
        <f>IFERROR(B53/'Income Statement'!B5*365,0)</f>
        <v/>
      </c>
      <c r="C63" s="22">
        <f>IFERROR(C53/'Income Statement'!C5*365,0)</f>
        <v/>
      </c>
      <c r="D63" s="22">
        <f>IFERROR(D53/'Income Statement'!D5*365,0)</f>
        <v/>
      </c>
      <c r="E63" s="22">
        <f>IFERROR(E53/'Income Statement'!E5*365,0)</f>
        <v/>
      </c>
      <c r="F63" s="22">
        <f>IFERROR(F53/'Income Statement'!F5*365,0)</f>
        <v/>
      </c>
      <c r="G63" s="22">
        <f>IFERROR(G53/'Income Statement'!G5*365,0)</f>
        <v/>
      </c>
    </row>
    <row r="64">
      <c r="A64" s="18" t="inlineStr">
        <is>
          <t>Cash Conversion Cycle  (CCC)</t>
        </is>
      </c>
      <c r="B64" s="22">
        <f>B61+B62-B63</f>
        <v/>
      </c>
      <c r="C64" s="22">
        <f>C61+C62-C63</f>
        <v/>
      </c>
      <c r="D64" s="22">
        <f>D61+D62-D63</f>
        <v/>
      </c>
      <c r="E64" s="22">
        <f>E61+E62-E63</f>
        <v/>
      </c>
      <c r="F64" s="22">
        <f>F61+F62-F63</f>
        <v/>
      </c>
      <c r="G64" s="22">
        <f>G61+G62-G63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3-Statement Model — Cash Flow Statement  ($mm, Indirect Method)</t>
        </is>
      </c>
    </row>
    <row r="2" ht="18" customHeight="1">
      <c r="A2" s="2" t="inlineStr">
        <is>
          <t>Line Item</t>
        </is>
      </c>
      <c r="B2" s="3" t="inlineStr">
        <is>
          <t>FY2020</t>
        </is>
      </c>
      <c r="C2" s="3" t="inlineStr">
        <is>
          <t>FY2021</t>
        </is>
      </c>
      <c r="D2" s="3" t="inlineStr">
        <is>
          <t>FY2022</t>
        </is>
      </c>
      <c r="E2" s="3" t="inlineStr">
        <is>
          <t>FY2023</t>
        </is>
      </c>
      <c r="F2" s="3" t="inlineStr">
        <is>
          <t>FY2024</t>
        </is>
      </c>
      <c r="G2" s="3" t="inlineStr">
        <is>
          <t>FY2025</t>
        </is>
      </c>
    </row>
    <row r="4" ht="16" customHeight="1">
      <c r="A4" s="13" t="inlineStr">
        <is>
          <t>OPERATING ACTIVITIES</t>
        </is>
      </c>
      <c r="B4" s="14" t="n"/>
      <c r="C4" s="14" t="n"/>
      <c r="D4" s="14" t="n"/>
      <c r="E4" s="14" t="n"/>
      <c r="F4" s="14" t="n"/>
      <c r="G4" s="14" t="n"/>
    </row>
    <row r="5">
      <c r="A5" s="4" t="inlineStr">
        <is>
          <t>Net Income</t>
        </is>
      </c>
      <c r="B5" s="16">
        <f>'Income Statement'!B29</f>
        <v/>
      </c>
      <c r="C5" s="16">
        <f>'Income Statement'!C29</f>
        <v/>
      </c>
      <c r="D5" s="16">
        <f>'Income Statement'!D29</f>
        <v/>
      </c>
      <c r="E5" s="16">
        <f>'Income Statement'!E29</f>
        <v/>
      </c>
      <c r="F5" s="16">
        <f>'Income Statement'!F29</f>
        <v/>
      </c>
      <c r="G5" s="16">
        <f>'Income Statement'!G29</f>
        <v/>
      </c>
    </row>
    <row r="6">
      <c r="A6" s="4" t="inlineStr">
        <is>
          <t>Add: Depreciation &amp; Amortization</t>
        </is>
      </c>
      <c r="B6" s="16">
        <f>'Income Statement'!B17</f>
        <v/>
      </c>
      <c r="C6" s="16">
        <f>'Income Statement'!C17</f>
        <v/>
      </c>
      <c r="D6" s="16">
        <f>'Income Statement'!D17</f>
        <v/>
      </c>
      <c r="E6" s="16">
        <f>'Income Statement'!E17</f>
        <v/>
      </c>
      <c r="F6" s="16">
        <f>'Income Statement'!F17</f>
        <v/>
      </c>
      <c r="G6" s="16">
        <f>'Income Statement'!G17</f>
        <v/>
      </c>
    </row>
    <row r="8" ht="16" customHeight="1">
      <c r="A8" s="23" t="inlineStr">
        <is>
          <t>Changes in Working Capital</t>
        </is>
      </c>
      <c r="B8" s="24" t="n"/>
      <c r="C8" s="24" t="n"/>
      <c r="D8" s="24" t="n"/>
      <c r="E8" s="24" t="n"/>
      <c r="F8" s="24" t="n"/>
      <c r="G8" s="24" t="n"/>
    </row>
    <row r="9">
      <c r="A9" s="4" t="inlineStr">
        <is>
          <t xml:space="preserve">  (Inc.) / Dec. in Accounts Receivable</t>
        </is>
      </c>
      <c r="B9" s="9">
        <f>0</f>
        <v/>
      </c>
      <c r="C9" s="16">
        <f>'Balance Sheet'!B6-'Balance Sheet'!C6</f>
        <v/>
      </c>
      <c r="D9" s="16">
        <f>'Balance Sheet'!C6-'Balance Sheet'!D6</f>
        <v/>
      </c>
      <c r="E9" s="16">
        <f>'Balance Sheet'!D6-'Balance Sheet'!E6</f>
        <v/>
      </c>
      <c r="F9" s="16">
        <f>'Balance Sheet'!E6-'Balance Sheet'!F6</f>
        <v/>
      </c>
      <c r="G9" s="16">
        <f>'Balance Sheet'!F6-'Balance Sheet'!G6</f>
        <v/>
      </c>
    </row>
    <row r="10">
      <c r="A10" s="4" t="inlineStr">
        <is>
          <t xml:space="preserve">  (Inc.) / Dec. in Inventory</t>
        </is>
      </c>
      <c r="B10" s="9">
        <f>0</f>
        <v/>
      </c>
      <c r="C10" s="16">
        <f>'Balance Sheet'!B7-'Balance Sheet'!C7</f>
        <v/>
      </c>
      <c r="D10" s="16">
        <f>'Balance Sheet'!C7-'Balance Sheet'!D7</f>
        <v/>
      </c>
      <c r="E10" s="16">
        <f>'Balance Sheet'!D7-'Balance Sheet'!E7</f>
        <v/>
      </c>
      <c r="F10" s="16">
        <f>'Balance Sheet'!E7-'Balance Sheet'!F7</f>
        <v/>
      </c>
      <c r="G10" s="16">
        <f>'Balance Sheet'!F7-'Balance Sheet'!G7</f>
        <v/>
      </c>
    </row>
    <row r="11">
      <c r="A11" s="4" t="inlineStr">
        <is>
          <t xml:space="preserve">  Inc. / (Dec.) in Accounts Payable</t>
        </is>
      </c>
      <c r="B11" s="9">
        <f>0</f>
        <v/>
      </c>
      <c r="C11" s="16">
        <f>'Balance Sheet'!C24-'Balance Sheet'!B24</f>
        <v/>
      </c>
      <c r="D11" s="16">
        <f>'Balance Sheet'!D24-'Balance Sheet'!C24</f>
        <v/>
      </c>
      <c r="E11" s="16">
        <f>'Balance Sheet'!E24-'Balance Sheet'!D24</f>
        <v/>
      </c>
      <c r="F11" s="16">
        <f>'Balance Sheet'!F24-'Balance Sheet'!E24</f>
        <v/>
      </c>
      <c r="G11" s="16">
        <f>'Balance Sheet'!G24-'Balance Sheet'!F24</f>
        <v/>
      </c>
    </row>
    <row r="12">
      <c r="A12" s="4" t="inlineStr">
        <is>
          <t xml:space="preserve">  Inc. / (Dec.) in Accrued Liabilities</t>
        </is>
      </c>
      <c r="B12" s="9">
        <f>0</f>
        <v/>
      </c>
      <c r="C12" s="16">
        <f>'Balance Sheet'!C25-'Balance Sheet'!B25</f>
        <v/>
      </c>
      <c r="D12" s="16">
        <f>'Balance Sheet'!D25-'Balance Sheet'!C25</f>
        <v/>
      </c>
      <c r="E12" s="16">
        <f>'Balance Sheet'!E25-'Balance Sheet'!D25</f>
        <v/>
      </c>
      <c r="F12" s="16">
        <f>'Balance Sheet'!F25-'Balance Sheet'!E25</f>
        <v/>
      </c>
      <c r="G12" s="16">
        <f>'Balance Sheet'!G25-'Balance Sheet'!F25</f>
        <v/>
      </c>
    </row>
    <row r="13">
      <c r="A13" s="4" t="inlineStr">
        <is>
          <t xml:space="preserve">  Inc. / (Dec.) in Deferred Revenue</t>
        </is>
      </c>
      <c r="B13" s="9">
        <f>0</f>
        <v/>
      </c>
      <c r="C13" s="16">
        <f>'Balance Sheet'!C26-'Balance Sheet'!B26</f>
        <v/>
      </c>
      <c r="D13" s="16">
        <f>'Balance Sheet'!D26-'Balance Sheet'!C26</f>
        <v/>
      </c>
      <c r="E13" s="16">
        <f>'Balance Sheet'!E26-'Balance Sheet'!D26</f>
        <v/>
      </c>
      <c r="F13" s="16">
        <f>'Balance Sheet'!F26-'Balance Sheet'!E26</f>
        <v/>
      </c>
      <c r="G13" s="16">
        <f>'Balance Sheet'!G26-'Balance Sheet'!F26</f>
        <v/>
      </c>
    </row>
    <row r="14">
      <c r="A14" s="4" t="inlineStr">
        <is>
          <t xml:space="preserve">  Change in Other Current Assets / Liabilities</t>
        </is>
      </c>
      <c r="B14" s="5" t="n"/>
      <c r="C14" s="5" t="n"/>
      <c r="D14" s="5" t="n"/>
      <c r="E14" s="5" t="n"/>
      <c r="F14" s="5" t="n"/>
      <c r="G14" s="5" t="n"/>
    </row>
    <row r="15">
      <c r="A15" s="4" t="inlineStr">
        <is>
          <t xml:space="preserve">  Net Change in Working Capital</t>
        </is>
      </c>
      <c r="B15" s="9">
        <f>SUM(B9:B14)</f>
        <v/>
      </c>
      <c r="C15" s="9">
        <f>SUM(C9:C14)</f>
        <v/>
      </c>
      <c r="D15" s="9">
        <f>SUM(D9:D14)</f>
        <v/>
      </c>
      <c r="E15" s="9">
        <f>SUM(E9:E14)</f>
        <v/>
      </c>
      <c r="F15" s="9">
        <f>SUM(F9:F14)</f>
        <v/>
      </c>
      <c r="G15" s="9">
        <f>SUM(G9:G14)</f>
        <v/>
      </c>
    </row>
    <row r="17">
      <c r="A17" s="6" t="inlineStr">
        <is>
          <t>Net Cash from Operating Activities</t>
        </is>
      </c>
      <c r="B17" s="7">
        <f>B5+B6+B15</f>
        <v/>
      </c>
      <c r="C17" s="7">
        <f>C5+C6+C15</f>
        <v/>
      </c>
      <c r="D17" s="7">
        <f>D5+D6+D15</f>
        <v/>
      </c>
      <c r="E17" s="7">
        <f>E5+E6+E15</f>
        <v/>
      </c>
      <c r="F17" s="7">
        <f>F5+F6+F15</f>
        <v/>
      </c>
      <c r="G17" s="7">
        <f>G5+G6+G15</f>
        <v/>
      </c>
    </row>
    <row r="19" ht="16" customHeight="1">
      <c r="A19" s="13" t="inlineStr">
        <is>
          <t>INVESTING ACTIVITIES</t>
        </is>
      </c>
      <c r="B19" s="14" t="n"/>
      <c r="C19" s="14" t="n"/>
      <c r="D19" s="14" t="n"/>
      <c r="E19" s="14" t="n"/>
      <c r="F19" s="14" t="n"/>
      <c r="G19" s="14" t="n"/>
    </row>
    <row r="20">
      <c r="A20" s="4" t="inlineStr">
        <is>
          <t>Capital Expenditures  (Capex)</t>
        </is>
      </c>
      <c r="B20" s="5" t="n"/>
      <c r="C20" s="5" t="n"/>
      <c r="D20" s="5" t="n"/>
      <c r="E20" s="5" t="n"/>
      <c r="F20" s="5" t="n"/>
      <c r="G20" s="5" t="n"/>
    </row>
    <row r="21">
      <c r="A21" s="4" t="inlineStr">
        <is>
          <t>Acquisitions, Net of Cash</t>
        </is>
      </c>
      <c r="B21" s="5" t="n"/>
      <c r="C21" s="5" t="n"/>
      <c r="D21" s="5" t="n"/>
      <c r="E21" s="5" t="n"/>
      <c r="F21" s="5" t="n"/>
      <c r="G21" s="5" t="n"/>
    </row>
    <row r="22">
      <c r="A22" s="4" t="inlineStr">
        <is>
          <t>Proceeds from Sale of PP&amp;E</t>
        </is>
      </c>
      <c r="B22" s="5" t="n"/>
      <c r="C22" s="5" t="n"/>
      <c r="D22" s="5" t="n"/>
      <c r="E22" s="5" t="n"/>
      <c r="F22" s="5" t="n"/>
      <c r="G22" s="5" t="n"/>
    </row>
    <row r="23">
      <c r="A23" s="4" t="inlineStr">
        <is>
          <t>Other Investing Activities</t>
        </is>
      </c>
      <c r="B23" s="5" t="n"/>
      <c r="C23" s="5" t="n"/>
      <c r="D23" s="5" t="n"/>
      <c r="E23" s="5" t="n"/>
      <c r="F23" s="5" t="n"/>
      <c r="G23" s="5" t="n"/>
    </row>
    <row r="24">
      <c r="A24" s="6" t="inlineStr">
        <is>
          <t>Net Cash from Investing Activities</t>
        </is>
      </c>
      <c r="B24" s="7">
        <f>B20+B21+B22+B23</f>
        <v/>
      </c>
      <c r="C24" s="7">
        <f>C20+C21+C22+C23</f>
        <v/>
      </c>
      <c r="D24" s="7">
        <f>D20+D21+D22+D23</f>
        <v/>
      </c>
      <c r="E24" s="7">
        <f>E20+E21+E22+E23</f>
        <v/>
      </c>
      <c r="F24" s="7">
        <f>F20+F21+F22+F23</f>
        <v/>
      </c>
      <c r="G24" s="7">
        <f>G20+G21+G22+G23</f>
        <v/>
      </c>
    </row>
    <row r="26" ht="16" customHeight="1">
      <c r="A26" s="13" t="inlineStr">
        <is>
          <t>FINANCING ACTIVITIES</t>
        </is>
      </c>
      <c r="B26" s="14" t="n"/>
      <c r="C26" s="14" t="n"/>
      <c r="D26" s="14" t="n"/>
      <c r="E26" s="14" t="n"/>
      <c r="F26" s="14" t="n"/>
      <c r="G26" s="14" t="n"/>
    </row>
    <row r="27">
      <c r="A27" s="4" t="inlineStr">
        <is>
          <t>Proceeds from Long-Term Debt Issuance</t>
        </is>
      </c>
      <c r="B27" s="5" t="n"/>
      <c r="C27" s="5" t="n"/>
      <c r="D27" s="5" t="n"/>
      <c r="E27" s="5" t="n"/>
      <c r="F27" s="5" t="n"/>
      <c r="G27" s="5" t="n"/>
    </row>
    <row r="28">
      <c r="A28" s="4" t="inlineStr">
        <is>
          <t>Repayment of Long-Term Debt</t>
        </is>
      </c>
      <c r="B28" s="5" t="n"/>
      <c r="C28" s="5" t="n"/>
      <c r="D28" s="5" t="n"/>
      <c r="E28" s="5" t="n"/>
      <c r="F28" s="5" t="n"/>
      <c r="G28" s="5" t="n"/>
    </row>
    <row r="29">
      <c r="A29" s="4" t="inlineStr">
        <is>
          <t>Net Change in Short-Term Borrowings</t>
        </is>
      </c>
      <c r="B29" s="5" t="n"/>
      <c r="C29" s="5" t="n"/>
      <c r="D29" s="5" t="n"/>
      <c r="E29" s="5" t="n"/>
      <c r="F29" s="5" t="n"/>
      <c r="G29" s="5" t="n"/>
    </row>
    <row r="30">
      <c r="A30" s="4" t="inlineStr">
        <is>
          <t>Cash Dividends Paid</t>
        </is>
      </c>
      <c r="B30" s="5" t="n"/>
      <c r="C30" s="5" t="n"/>
      <c r="D30" s="5" t="n"/>
      <c r="E30" s="5" t="n"/>
      <c r="F30" s="5" t="n"/>
      <c r="G30" s="5" t="n"/>
    </row>
    <row r="31">
      <c r="A31" s="4" t="inlineStr">
        <is>
          <t>Share Repurchases  (Buybacks)</t>
        </is>
      </c>
      <c r="B31" s="5" t="n"/>
      <c r="C31" s="5" t="n"/>
      <c r="D31" s="5" t="n"/>
      <c r="E31" s="5" t="n"/>
      <c r="F31" s="5" t="n"/>
      <c r="G31" s="5" t="n"/>
    </row>
    <row r="32">
      <c r="A32" s="6" t="inlineStr">
        <is>
          <t>Net Cash from Financing Activities</t>
        </is>
      </c>
      <c r="B32" s="7">
        <f>B27+B28+B29+B30+B31</f>
        <v/>
      </c>
      <c r="C32" s="7">
        <f>C27+C28+C29+C30+C31</f>
        <v/>
      </c>
      <c r="D32" s="7">
        <f>D27+D28+D29+D30+D31</f>
        <v/>
      </c>
      <c r="E32" s="7">
        <f>E27+E28+E29+E30+E31</f>
        <v/>
      </c>
      <c r="F32" s="7">
        <f>F27+F28+F29+F30+F31</f>
        <v/>
      </c>
      <c r="G32" s="7">
        <f>G27+G28+G29+G30+G31</f>
        <v/>
      </c>
    </row>
    <row r="34">
      <c r="A34" s="6" t="inlineStr">
        <is>
          <t>Net Increase / (Decrease) in Cash</t>
        </is>
      </c>
      <c r="B34" s="7">
        <f>B17+B24+B32</f>
        <v/>
      </c>
      <c r="C34" s="7">
        <f>C17+C24+C32</f>
        <v/>
      </c>
      <c r="D34" s="7">
        <f>D17+D24+D32</f>
        <v/>
      </c>
      <c r="E34" s="7">
        <f>E17+E24+E32</f>
        <v/>
      </c>
      <c r="F34" s="7">
        <f>F17+F24+F32</f>
        <v/>
      </c>
      <c r="G34" s="7">
        <f>G17+G24+G32</f>
        <v/>
      </c>
    </row>
    <row r="35">
      <c r="A35" s="4" t="inlineStr">
        <is>
          <t>Cash — Beginning of Period</t>
        </is>
      </c>
      <c r="B35" s="5" t="n"/>
      <c r="C35" s="16">
        <f>'Cash Flow'!B36</f>
        <v/>
      </c>
      <c r="D35" s="16">
        <f>'Cash Flow'!C36</f>
        <v/>
      </c>
      <c r="E35" s="16">
        <f>'Cash Flow'!D36</f>
        <v/>
      </c>
      <c r="F35" s="16">
        <f>'Cash Flow'!E36</f>
        <v/>
      </c>
      <c r="G35" s="16">
        <f>'Cash Flow'!F36</f>
        <v/>
      </c>
    </row>
    <row r="36">
      <c r="A36" s="6" t="inlineStr">
        <is>
          <t>Cash — End of Period</t>
        </is>
      </c>
      <c r="B36" s="7">
        <f>B35+B34</f>
        <v/>
      </c>
      <c r="C36" s="7">
        <f>C35+C34</f>
        <v/>
      </c>
      <c r="D36" s="7">
        <f>D35+D34</f>
        <v/>
      </c>
      <c r="E36" s="7">
        <f>E35+E34</f>
        <v/>
      </c>
      <c r="F36" s="7">
        <f>F35+F34</f>
        <v/>
      </c>
      <c r="G36" s="7">
        <f>G35+G34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2026-04-08T14:19:33Z</dcterms:created>
  <dcterms:modified xmlns:dcterms="http://purl.org/dc/terms/" xmlns:xsi="http://www.w3.org/2001/XMLSchema-instance" xsi:type="dcterms:W3CDTF">2026-04-08T14:19:33Z</dcterms:modified>
</cp:coreProperties>
</file>