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Build" sheetId="1" state="visible" r:id="rId1"/>
    <sheet xmlns:r="http://schemas.openxmlformats.org/officeDocument/2006/relationships" name="P&amp;L Projections" sheetId="2" state="visible" r:id="rId2"/>
    <sheet xmlns:r="http://schemas.openxmlformats.org/officeDocument/2006/relationships" name="Free Cash Flow" sheetId="3" state="visible" r:id="rId3"/>
    <sheet xmlns:r="http://schemas.openxmlformats.org/officeDocument/2006/relationships" name="WACC Calculation" sheetId="4" state="visible" r:id="rId4"/>
    <sheet xmlns:r="http://schemas.openxmlformats.org/officeDocument/2006/relationships" name="Terminal Value" sheetId="5" state="visible" r:id="rId5"/>
    <sheet xmlns:r="http://schemas.openxmlformats.org/officeDocument/2006/relationships" name="Valuation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%;(0.0%);&quot;-&quot;"/>
    <numFmt numFmtId="165" formatCode="$#,##0;($#,##0);&quot;-&quot;"/>
    <numFmt numFmtId="166" formatCode="0.0"/>
    <numFmt numFmtId="167" formatCode="0.0000"/>
    <numFmt numFmtId="168" formatCode="0.0&quot;x&quot;"/>
    <numFmt numFmtId="169" formatCode="#,##0;(#,##0);&quot;-&quot;"/>
    <numFmt numFmtId="170" formatCode="mm/dd/yyyy"/>
    <numFmt numFmtId="171" formatCode="$#,##0.00"/>
  </numFmts>
  <fonts count="12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b val="1"/>
      <color rgb="001F3864"/>
      <sz val="10"/>
    </font>
    <font>
      <name val="Calibri"/>
      <b val="1"/>
      <sz val="10"/>
    </font>
    <font>
      <name val="Calibri"/>
      <sz val="10"/>
    </font>
    <font>
      <name val="Calibri"/>
      <color rgb="000000FF"/>
      <sz val="10"/>
    </font>
    <font>
      <name val="Calibri"/>
      <color rgb="00000000"/>
      <sz val="10"/>
    </font>
    <font>
      <name val="Calibri"/>
      <color rgb="00008000"/>
      <sz val="10"/>
    </font>
    <font>
      <name val="Calibri"/>
      <b val="1"/>
      <color rgb="001F3864"/>
      <sz val="11"/>
    </font>
    <font>
      <name val="Calibri"/>
      <b val="1"/>
      <color rgb="00000000"/>
      <sz val="11"/>
    </font>
    <font>
      <name val="Calibri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EEF3FF"/>
      </patternFill>
    </fill>
    <fill>
      <patternFill patternType="solid">
        <fgColor rgb="001F3864"/>
      </patternFill>
    </fill>
    <fill>
      <patternFill patternType="solid">
        <fgColor rgb="00C5D9F1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BDD7EE"/>
      </bottom>
    </border>
    <border>
      <top style="medium">
        <color rgb="002F5496"/>
      </top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3" fillId="4" borderId="1" pivotButton="0" quotePrefix="0" xfId="0"/>
    <xf numFmtId="0" fontId="0" fillId="4" borderId="1" pivotButton="0" quotePrefix="0" xfId="0"/>
    <xf numFmtId="0" fontId="4" fillId="0" borderId="0" applyAlignment="1" pivotButton="0" quotePrefix="0" xfId="0">
      <alignment horizontal="left" vertical="center" indent="1"/>
    </xf>
    <xf numFmtId="165" fontId="6" fillId="0" borderId="0" pivotButton="0" quotePrefix="0" xfId="0"/>
    <xf numFmtId="165" fontId="7" fillId="0" borderId="0" pivotButton="0" quotePrefix="0" xfId="0"/>
    <xf numFmtId="0" fontId="5" fillId="0" borderId="0" applyAlignment="1" pivotButton="0" quotePrefix="0" xfId="0">
      <alignment horizontal="left" vertical="center" indent="1"/>
    </xf>
    <xf numFmtId="164" fontId="6" fillId="0" borderId="0" pivotButton="0" quotePrefix="0" xfId="0"/>
    <xf numFmtId="0" fontId="4" fillId="5" borderId="1" applyAlignment="1" pivotButton="0" quotePrefix="0" xfId="0">
      <alignment horizontal="left" vertical="center" indent="1"/>
    </xf>
    <xf numFmtId="165" fontId="7" fillId="5" borderId="1" pivotButton="0" quotePrefix="0" xfId="0"/>
    <xf numFmtId="164" fontId="7" fillId="0" borderId="0" pivotButton="0" quotePrefix="0" xfId="0"/>
    <xf numFmtId="165" fontId="8" fillId="0" borderId="0" pivotButton="0" quotePrefix="0" xfId="0"/>
    <xf numFmtId="0" fontId="4" fillId="0" borderId="2" applyAlignment="1" pivotButton="0" quotePrefix="0" xfId="0">
      <alignment horizontal="left" vertical="center" indent="1"/>
    </xf>
    <xf numFmtId="165" fontId="7" fillId="0" borderId="2" pivotButton="0" quotePrefix="0" xfId="0"/>
    <xf numFmtId="164" fontId="8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0" fontId="5" fillId="0" borderId="0" applyAlignment="1" pivotButton="0" quotePrefix="0" xfId="0">
      <alignment horizontal="left" vertical="center" indent="2"/>
    </xf>
    <xf numFmtId="2" fontId="6" fillId="0" borderId="0" pivotButton="0" quotePrefix="0" xfId="0"/>
    <xf numFmtId="0" fontId="4" fillId="0" borderId="0" applyAlignment="1" pivotButton="0" quotePrefix="0" xfId="0">
      <alignment horizontal="left" vertical="center" indent="2"/>
    </xf>
    <xf numFmtId="0" fontId="9" fillId="0" borderId="0" applyAlignment="1" pivotButton="0" quotePrefix="0" xfId="0">
      <alignment horizontal="left" vertical="center" indent="2"/>
    </xf>
    <xf numFmtId="164" fontId="10" fillId="0" borderId="0" pivotButton="0" quotePrefix="0" xfId="0"/>
    <xf numFmtId="168" fontId="6" fillId="0" borderId="0" pivotButton="0" quotePrefix="0" xfId="0"/>
    <xf numFmtId="0" fontId="11" fillId="0" borderId="0" pivotButton="0" quotePrefix="0" xfId="0"/>
    <xf numFmtId="169" fontId="6" fillId="0" borderId="0" pivotButton="0" quotePrefix="0" xfId="0"/>
    <xf numFmtId="171" fontId="7" fillId="0" borderId="0" pivotButton="0" quotePrefix="0" xfId="0"/>
    <xf numFmtId="17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DCF Model — Revenue Build  ($mm)</t>
        </is>
      </c>
    </row>
    <row r="2" ht="18" customHeight="1">
      <c r="A2" s="2" t="inlineStr">
        <is>
          <t>Line Item</t>
        </is>
      </c>
      <c r="B2" s="3" t="inlineStr">
        <is>
          <t>FY2020  ◄ Historical</t>
        </is>
      </c>
      <c r="C2" s="3" t="inlineStr">
        <is>
          <t>FY2021</t>
        </is>
      </c>
      <c r="D2" s="3" t="inlineStr">
        <is>
          <t>FY2022</t>
        </is>
      </c>
      <c r="E2" s="3" t="inlineStr">
        <is>
          <t>FY2023</t>
        </is>
      </c>
      <c r="F2" s="3" t="inlineStr">
        <is>
          <t>FY2024  ◄ Forecast</t>
        </is>
      </c>
      <c r="G2" s="3" t="inlineStr">
        <is>
          <t>FY2025</t>
        </is>
      </c>
      <c r="H2" s="3" t="inlineStr">
        <is>
          <t>FY2026</t>
        </is>
      </c>
      <c r="I2" s="3" t="inlineStr">
        <is>
          <t>FY2027</t>
        </is>
      </c>
      <c r="J2" s="3" t="inlineStr">
        <is>
          <t>FY2028</t>
        </is>
      </c>
    </row>
    <row r="4" ht="16" customHeight="1">
      <c r="A4" s="4" t="inlineStr">
        <is>
          <t>SEGMENT A — Core Products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6" t="inlineStr">
        <is>
          <t xml:space="preserve">  Revenue  ($mm)</t>
        </is>
      </c>
      <c r="B5" s="7" t="n"/>
      <c r="C5" s="7" t="n"/>
      <c r="D5" s="7" t="n"/>
      <c r="E5" s="7" t="n"/>
      <c r="F5" s="8">
        <f>E5*(1+F6)</f>
        <v/>
      </c>
      <c r="G5" s="8">
        <f>F5*(1+G6)</f>
        <v/>
      </c>
      <c r="H5" s="8">
        <f>G5*(1+H6)</f>
        <v/>
      </c>
      <c r="I5" s="8">
        <f>H5*(1+I6)</f>
        <v/>
      </c>
      <c r="J5" s="8">
        <f>I5*(1+J6)</f>
        <v/>
      </c>
    </row>
    <row r="6">
      <c r="A6" s="9" t="inlineStr">
        <is>
          <t xml:space="preserve">  YoY Growth Rate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</row>
    <row r="8" ht="16" customHeight="1">
      <c r="A8" s="4" t="inlineStr">
        <is>
          <t>SEGMENT B — Adjacent Markets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6" t="inlineStr">
        <is>
          <t xml:space="preserve">  Revenue  ($mm)</t>
        </is>
      </c>
      <c r="B9" s="7" t="n"/>
      <c r="C9" s="7" t="n"/>
      <c r="D9" s="7" t="n"/>
      <c r="E9" s="7" t="n"/>
      <c r="F9" s="8">
        <f>E9*(1+F10)</f>
        <v/>
      </c>
      <c r="G9" s="8">
        <f>F9*(1+G10)</f>
        <v/>
      </c>
      <c r="H9" s="8">
        <f>G9*(1+H10)</f>
        <v/>
      </c>
      <c r="I9" s="8">
        <f>H9*(1+I10)</f>
        <v/>
      </c>
      <c r="J9" s="8">
        <f>I9*(1+J10)</f>
        <v/>
      </c>
    </row>
    <row r="10">
      <c r="A10" s="9" t="inlineStr">
        <is>
          <t xml:space="preserve">  YoY Growth Rate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</row>
    <row r="12" ht="16" customHeight="1">
      <c r="A12" s="4" t="inlineStr">
        <is>
          <t>SEGMENT C — Emerging / New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6" t="inlineStr">
        <is>
          <t xml:space="preserve">  Revenue  ($mm)</t>
        </is>
      </c>
      <c r="B13" s="7" t="n"/>
      <c r="C13" s="7" t="n"/>
      <c r="D13" s="7" t="n"/>
      <c r="E13" s="7" t="n"/>
      <c r="F13" s="8">
        <f>E13*(1+F14)</f>
        <v/>
      </c>
      <c r="G13" s="8">
        <f>F13*(1+G14)</f>
        <v/>
      </c>
      <c r="H13" s="8">
        <f>G13*(1+H14)</f>
        <v/>
      </c>
      <c r="I13" s="8">
        <f>H13*(1+I14)</f>
        <v/>
      </c>
      <c r="J13" s="8">
        <f>I13*(1+J14)</f>
        <v/>
      </c>
    </row>
    <row r="14">
      <c r="A14" s="9" t="inlineStr">
        <is>
          <t xml:space="preserve">  YoY Growth Rate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6" ht="16" customHeight="1">
      <c r="A16" s="11" t="inlineStr">
        <is>
          <t>Total Revenue  ($mm)</t>
        </is>
      </c>
      <c r="B16" s="12">
        <f>B5+B9+B13</f>
        <v/>
      </c>
      <c r="C16" s="12">
        <f>C5+C9+C13</f>
        <v/>
      </c>
      <c r="D16" s="12">
        <f>D5+D9+D13</f>
        <v/>
      </c>
      <c r="E16" s="12">
        <f>E5+E9+E13</f>
        <v/>
      </c>
      <c r="F16" s="12">
        <f>F5+F9+F13</f>
        <v/>
      </c>
      <c r="G16" s="12">
        <f>G5+G9+G13</f>
        <v/>
      </c>
      <c r="H16" s="12">
        <f>H5+H9+H13</f>
        <v/>
      </c>
      <c r="I16" s="12">
        <f>I5+I9+I13</f>
        <v/>
      </c>
      <c r="J16" s="12">
        <f>J5+J9+J13</f>
        <v/>
      </c>
    </row>
    <row r="17">
      <c r="A17" s="9" t="inlineStr">
        <is>
          <t xml:space="preserve">  Total Revenue Growth %</t>
        </is>
      </c>
      <c r="B17" s="13">
        <f>0</f>
        <v/>
      </c>
      <c r="C17" s="13">
        <f>IFERROR(C16/B16-1,0)</f>
        <v/>
      </c>
      <c r="D17" s="13">
        <f>IFERROR(D16/C16-1,0)</f>
        <v/>
      </c>
      <c r="E17" s="13">
        <f>IFERROR(E16/D16-1,0)</f>
        <v/>
      </c>
      <c r="F17" s="13">
        <f>IFERROR(F16/E16-1,0)</f>
        <v/>
      </c>
      <c r="G17" s="13">
        <f>IFERROR(G16/F16-1,0)</f>
        <v/>
      </c>
      <c r="H17" s="13">
        <f>IFERROR(H16/G16-1,0)</f>
        <v/>
      </c>
      <c r="I17" s="13">
        <f>IFERROR(I16/H16-1,0)</f>
        <v/>
      </c>
      <c r="J17" s="13">
        <f>IFERROR(J16/I16-1,0)</f>
        <v/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DCF Model — P&amp;L Projections  ($mm)</t>
        </is>
      </c>
    </row>
    <row r="2" ht="18" customHeight="1">
      <c r="A2" s="2" t="inlineStr">
        <is>
          <t>Line Item</t>
        </is>
      </c>
      <c r="B2" s="3" t="inlineStr">
        <is>
          <t>FY2020</t>
        </is>
      </c>
      <c r="C2" s="3" t="inlineStr">
        <is>
          <t>FY2021</t>
        </is>
      </c>
      <c r="D2" s="3" t="inlineStr">
        <is>
          <t>FY2022</t>
        </is>
      </c>
      <c r="E2" s="3" t="inlineStr">
        <is>
          <t>FY2023</t>
        </is>
      </c>
      <c r="F2" s="3" t="inlineStr">
        <is>
          <t>FY2024</t>
        </is>
      </c>
      <c r="G2" s="3" t="inlineStr">
        <is>
          <t>FY2025</t>
        </is>
      </c>
      <c r="H2" s="3" t="inlineStr">
        <is>
          <t>FY2026</t>
        </is>
      </c>
      <c r="I2" s="3" t="inlineStr">
        <is>
          <t>FY2027</t>
        </is>
      </c>
      <c r="J2" s="3" t="inlineStr">
        <is>
          <t>FY2028</t>
        </is>
      </c>
    </row>
    <row r="4">
      <c r="A4" s="6" t="inlineStr">
        <is>
          <t>Revenue</t>
        </is>
      </c>
      <c r="B4" s="14">
        <f>'Revenue Build'!B16</f>
        <v/>
      </c>
      <c r="C4" s="14">
        <f>'Revenue Build'!C16</f>
        <v/>
      </c>
      <c r="D4" s="14">
        <f>'Revenue Build'!D16</f>
        <v/>
      </c>
      <c r="E4" s="14">
        <f>'Revenue Build'!E16</f>
        <v/>
      </c>
      <c r="F4" s="14">
        <f>'Revenue Build'!F16</f>
        <v/>
      </c>
      <c r="G4" s="14">
        <f>'Revenue Build'!G16</f>
        <v/>
      </c>
      <c r="H4" s="14">
        <f>'Revenue Build'!H16</f>
        <v/>
      </c>
      <c r="I4" s="14">
        <f>'Revenue Build'!I16</f>
        <v/>
      </c>
      <c r="J4" s="14">
        <f>'Revenue Build'!J16</f>
        <v/>
      </c>
    </row>
    <row r="5">
      <c r="A5" s="9" t="inlineStr">
        <is>
          <t xml:space="preserve">  Revenue Growth %</t>
        </is>
      </c>
      <c r="B5" s="13">
        <f>0</f>
        <v/>
      </c>
      <c r="C5" s="13">
        <f>IFERROR(C4/B4-1,0)</f>
        <v/>
      </c>
      <c r="D5" s="13">
        <f>IFERROR(D4/C4-1,0)</f>
        <v/>
      </c>
      <c r="E5" s="13">
        <f>IFERROR(E4/D4-1,0)</f>
        <v/>
      </c>
      <c r="F5" s="13">
        <f>IFERROR(F4/E4-1,0)</f>
        <v/>
      </c>
      <c r="G5" s="13">
        <f>IFERROR(G4/F4-1,0)</f>
        <v/>
      </c>
      <c r="H5" s="13">
        <f>IFERROR(H4/G4-1,0)</f>
        <v/>
      </c>
      <c r="I5" s="13">
        <f>IFERROR(I4/H4-1,0)</f>
        <v/>
      </c>
      <c r="J5" s="13">
        <f>IFERROR(J4/I4-1,0)</f>
        <v/>
      </c>
    </row>
    <row r="6">
      <c r="A6" s="9" t="inlineStr">
        <is>
          <t>Cost of Goods Sold</t>
        </is>
      </c>
      <c r="B6" s="8">
        <f>B4*B7</f>
        <v/>
      </c>
      <c r="C6" s="8">
        <f>C4*C7</f>
        <v/>
      </c>
      <c r="D6" s="8">
        <f>D4*D7</f>
        <v/>
      </c>
      <c r="E6" s="8">
        <f>E4*E7</f>
        <v/>
      </c>
      <c r="F6" s="8">
        <f>F4*F7</f>
        <v/>
      </c>
      <c r="G6" s="8">
        <f>G4*G7</f>
        <v/>
      </c>
      <c r="H6" s="8">
        <f>H4*H7</f>
        <v/>
      </c>
      <c r="I6" s="8">
        <f>I4*I7</f>
        <v/>
      </c>
      <c r="J6" s="8">
        <f>J4*J7</f>
        <v/>
      </c>
    </row>
    <row r="7">
      <c r="A7" s="9" t="inlineStr">
        <is>
          <t xml:space="preserve">  COGS % of Revenue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</row>
    <row r="8">
      <c r="A8" s="15" t="inlineStr">
        <is>
          <t>Gross Profit</t>
        </is>
      </c>
      <c r="B8" s="16">
        <f>B4-B6</f>
        <v/>
      </c>
      <c r="C8" s="16">
        <f>C4-C6</f>
        <v/>
      </c>
      <c r="D8" s="16">
        <f>D4-D6</f>
        <v/>
      </c>
      <c r="E8" s="16">
        <f>E4-E6</f>
        <v/>
      </c>
      <c r="F8" s="16">
        <f>F4-F6</f>
        <v/>
      </c>
      <c r="G8" s="16">
        <f>G4-G6</f>
        <v/>
      </c>
      <c r="H8" s="16">
        <f>H4-H6</f>
        <v/>
      </c>
      <c r="I8" s="16">
        <f>I4-I6</f>
        <v/>
      </c>
      <c r="J8" s="16">
        <f>J4-J6</f>
        <v/>
      </c>
    </row>
    <row r="9">
      <c r="A9" s="9" t="inlineStr">
        <is>
          <t xml:space="preserve">  Gross Margin %</t>
        </is>
      </c>
      <c r="B9" s="13">
        <f>IFERROR(B8/B4,0)</f>
        <v/>
      </c>
      <c r="C9" s="13">
        <f>IFERROR(C8/C4,0)</f>
        <v/>
      </c>
      <c r="D9" s="13">
        <f>IFERROR(D8/D4,0)</f>
        <v/>
      </c>
      <c r="E9" s="13">
        <f>IFERROR(E8/E4,0)</f>
        <v/>
      </c>
      <c r="F9" s="13">
        <f>IFERROR(F8/F4,0)</f>
        <v/>
      </c>
      <c r="G9" s="13">
        <f>IFERROR(G8/G4,0)</f>
        <v/>
      </c>
      <c r="H9" s="13">
        <f>IFERROR(H8/H4,0)</f>
        <v/>
      </c>
      <c r="I9" s="13">
        <f>IFERROR(I8/I4,0)</f>
        <v/>
      </c>
      <c r="J9" s="13">
        <f>IFERROR(J8/J4,0)</f>
        <v/>
      </c>
    </row>
    <row r="11">
      <c r="A11" s="9" t="inlineStr">
        <is>
          <t>Selling, General &amp; Administrative</t>
        </is>
      </c>
      <c r="B11" s="8">
        <f>B4*B12</f>
        <v/>
      </c>
      <c r="C11" s="8">
        <f>C4*C12</f>
        <v/>
      </c>
      <c r="D11" s="8">
        <f>D4*D12</f>
        <v/>
      </c>
      <c r="E11" s="8">
        <f>E4*E12</f>
        <v/>
      </c>
      <c r="F11" s="8">
        <f>F4*F12</f>
        <v/>
      </c>
      <c r="G11" s="8">
        <f>G4*G12</f>
        <v/>
      </c>
      <c r="H11" s="8">
        <f>H4*H12</f>
        <v/>
      </c>
      <c r="I11" s="8">
        <f>I4*I12</f>
        <v/>
      </c>
      <c r="J11" s="8">
        <f>J4*J12</f>
        <v/>
      </c>
    </row>
    <row r="12">
      <c r="A12" s="9" t="inlineStr">
        <is>
          <t xml:space="preserve">  SG&amp;A % of Revenue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>
      <c r="A13" s="9" t="inlineStr">
        <is>
          <t>Research &amp; Development</t>
        </is>
      </c>
      <c r="B13" s="8">
        <f>B4*B14</f>
        <v/>
      </c>
      <c r="C13" s="8">
        <f>C4*C14</f>
        <v/>
      </c>
      <c r="D13" s="8">
        <f>D4*D14</f>
        <v/>
      </c>
      <c r="E13" s="8">
        <f>E4*E14</f>
        <v/>
      </c>
      <c r="F13" s="8">
        <f>F4*F14</f>
        <v/>
      </c>
      <c r="G13" s="8">
        <f>G4*G14</f>
        <v/>
      </c>
      <c r="H13" s="8">
        <f>H4*H14</f>
        <v/>
      </c>
      <c r="I13" s="8">
        <f>I4*I14</f>
        <v/>
      </c>
      <c r="J13" s="8">
        <f>J4*J14</f>
        <v/>
      </c>
    </row>
    <row r="14">
      <c r="A14" s="9" t="inlineStr">
        <is>
          <t xml:space="preserve">  R&amp;D % of Revenue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</row>
    <row r="16">
      <c r="A16" s="15" t="inlineStr">
        <is>
          <t>EBITDA</t>
        </is>
      </c>
      <c r="B16" s="16">
        <f>B8-B11-B13</f>
        <v/>
      </c>
      <c r="C16" s="16">
        <f>C8-C11-C13</f>
        <v/>
      </c>
      <c r="D16" s="16">
        <f>D8-D11-D13</f>
        <v/>
      </c>
      <c r="E16" s="16">
        <f>E8-E11-E13</f>
        <v/>
      </c>
      <c r="F16" s="16">
        <f>F8-F11-F13</f>
        <v/>
      </c>
      <c r="G16" s="16">
        <f>G8-G11-G13</f>
        <v/>
      </c>
      <c r="H16" s="16">
        <f>H8-H11-H13</f>
        <v/>
      </c>
      <c r="I16" s="16">
        <f>I8-I11-I13</f>
        <v/>
      </c>
      <c r="J16" s="16">
        <f>J8-J11-J13</f>
        <v/>
      </c>
    </row>
    <row r="17">
      <c r="A17" s="9" t="inlineStr">
        <is>
          <t xml:space="preserve">  EBITDA Margin %</t>
        </is>
      </c>
      <c r="B17" s="13">
        <f>IFERROR(B16/B4,0)</f>
        <v/>
      </c>
      <c r="C17" s="13">
        <f>IFERROR(C16/C4,0)</f>
        <v/>
      </c>
      <c r="D17" s="13">
        <f>IFERROR(D16/D4,0)</f>
        <v/>
      </c>
      <c r="E17" s="13">
        <f>IFERROR(E16/E4,0)</f>
        <v/>
      </c>
      <c r="F17" s="13">
        <f>IFERROR(F16/F4,0)</f>
        <v/>
      </c>
      <c r="G17" s="13">
        <f>IFERROR(G16/G4,0)</f>
        <v/>
      </c>
      <c r="H17" s="13">
        <f>IFERROR(H16/H4,0)</f>
        <v/>
      </c>
      <c r="I17" s="13">
        <f>IFERROR(I16/I4,0)</f>
        <v/>
      </c>
      <c r="J17" s="13">
        <f>IFERROR(J16/J4,0)</f>
        <v/>
      </c>
    </row>
    <row r="19">
      <c r="A19" s="9" t="inlineStr">
        <is>
          <t>Depreciation &amp; Amortization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>
      <c r="A20" s="15" t="inlineStr">
        <is>
          <t>EBIT (Operating Income)</t>
        </is>
      </c>
      <c r="B20" s="16">
        <f>B16-B19</f>
        <v/>
      </c>
      <c r="C20" s="16">
        <f>C16-C19</f>
        <v/>
      </c>
      <c r="D20" s="16">
        <f>D16-D19</f>
        <v/>
      </c>
      <c r="E20" s="16">
        <f>E16-E19</f>
        <v/>
      </c>
      <c r="F20" s="16">
        <f>F16-F19</f>
        <v/>
      </c>
      <c r="G20" s="16">
        <f>G16-G19</f>
        <v/>
      </c>
      <c r="H20" s="16">
        <f>H16-H19</f>
        <v/>
      </c>
      <c r="I20" s="16">
        <f>I16-I19</f>
        <v/>
      </c>
      <c r="J20" s="16">
        <f>J16-J19</f>
        <v/>
      </c>
    </row>
    <row r="21">
      <c r="A21" s="9" t="inlineStr">
        <is>
          <t xml:space="preserve">  EBIT Margin %</t>
        </is>
      </c>
      <c r="B21" s="13">
        <f>IFERROR(B20/B4,0)</f>
        <v/>
      </c>
      <c r="C21" s="13">
        <f>IFERROR(C20/C4,0)</f>
        <v/>
      </c>
      <c r="D21" s="13">
        <f>IFERROR(D20/D4,0)</f>
        <v/>
      </c>
      <c r="E21" s="13">
        <f>IFERROR(E20/E4,0)</f>
        <v/>
      </c>
      <c r="F21" s="13">
        <f>IFERROR(F20/F4,0)</f>
        <v/>
      </c>
      <c r="G21" s="13">
        <f>IFERROR(G20/G4,0)</f>
        <v/>
      </c>
      <c r="H21" s="13">
        <f>IFERROR(H20/H4,0)</f>
        <v/>
      </c>
      <c r="I21" s="13">
        <f>IFERROR(I20/I4,0)</f>
        <v/>
      </c>
      <c r="J21" s="13">
        <f>IFERROR(J20/J4,0)</f>
        <v/>
      </c>
    </row>
    <row r="23">
      <c r="A23" s="9" t="inlineStr">
        <is>
          <t>Interest Expense (Net)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>
      <c r="A24" s="9" t="inlineStr">
        <is>
          <t>Earnings Before Tax</t>
        </is>
      </c>
      <c r="B24" s="8">
        <f>B20-B23</f>
        <v/>
      </c>
      <c r="C24" s="8">
        <f>C20-C23</f>
        <v/>
      </c>
      <c r="D24" s="8">
        <f>D20-D23</f>
        <v/>
      </c>
      <c r="E24" s="8">
        <f>E20-E23</f>
        <v/>
      </c>
      <c r="F24" s="8">
        <f>F20-F23</f>
        <v/>
      </c>
      <c r="G24" s="8">
        <f>G20-G23</f>
        <v/>
      </c>
      <c r="H24" s="8">
        <f>H20-H23</f>
        <v/>
      </c>
      <c r="I24" s="8">
        <f>I20-I23</f>
        <v/>
      </c>
      <c r="J24" s="8">
        <f>J20-J23</f>
        <v/>
      </c>
    </row>
    <row r="25">
      <c r="A25" s="9" t="inlineStr">
        <is>
          <t xml:space="preserve">  Effective Tax Rate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>
      <c r="A26" s="9" t="inlineStr">
        <is>
          <t>Income Tax Expense</t>
        </is>
      </c>
      <c r="B26" s="8">
        <f>MAX(B24*B25,0)</f>
        <v/>
      </c>
      <c r="C26" s="8">
        <f>MAX(C24*C25,0)</f>
        <v/>
      </c>
      <c r="D26" s="8">
        <f>MAX(D24*D25,0)</f>
        <v/>
      </c>
      <c r="E26" s="8">
        <f>MAX(E24*E25,0)</f>
        <v/>
      </c>
      <c r="F26" s="8">
        <f>MAX(F24*F25,0)</f>
        <v/>
      </c>
      <c r="G26" s="8">
        <f>MAX(G24*G25,0)</f>
        <v/>
      </c>
      <c r="H26" s="8">
        <f>MAX(H24*H25,0)</f>
        <v/>
      </c>
      <c r="I26" s="8">
        <f>MAX(I24*I25,0)</f>
        <v/>
      </c>
      <c r="J26" s="8">
        <f>MAX(J24*J25,0)</f>
        <v/>
      </c>
    </row>
    <row r="27">
      <c r="A27" s="15" t="inlineStr">
        <is>
          <t>Net Income</t>
        </is>
      </c>
      <c r="B27" s="16">
        <f>B24-B26</f>
        <v/>
      </c>
      <c r="C27" s="16">
        <f>C24-C26</f>
        <v/>
      </c>
      <c r="D27" s="16">
        <f>D24-D26</f>
        <v/>
      </c>
      <c r="E27" s="16">
        <f>E24-E26</f>
        <v/>
      </c>
      <c r="F27" s="16">
        <f>F24-F26</f>
        <v/>
      </c>
      <c r="G27" s="16">
        <f>G24-G26</f>
        <v/>
      </c>
      <c r="H27" s="16">
        <f>H24-H26</f>
        <v/>
      </c>
      <c r="I27" s="16">
        <f>I24-I26</f>
        <v/>
      </c>
      <c r="J27" s="16">
        <f>J24-J26</f>
        <v/>
      </c>
    </row>
    <row r="28">
      <c r="A28" s="9" t="inlineStr">
        <is>
          <t xml:space="preserve">  Net Margin %</t>
        </is>
      </c>
      <c r="B28" s="13">
        <f>IFERROR(B27/B4,0)</f>
        <v/>
      </c>
      <c r="C28" s="13">
        <f>IFERROR(C27/C4,0)</f>
        <v/>
      </c>
      <c r="D28" s="13">
        <f>IFERROR(D27/D4,0)</f>
        <v/>
      </c>
      <c r="E28" s="13">
        <f>IFERROR(E27/E4,0)</f>
        <v/>
      </c>
      <c r="F28" s="13">
        <f>IFERROR(F27/F4,0)</f>
        <v/>
      </c>
      <c r="G28" s="13">
        <f>IFERROR(G27/G4,0)</f>
        <v/>
      </c>
      <c r="H28" s="13">
        <f>IFERROR(H27/H4,0)</f>
        <v/>
      </c>
      <c r="I28" s="13">
        <f>IFERROR(I27/I4,0)</f>
        <v/>
      </c>
      <c r="J28" s="13">
        <f>IFERROR(J27/J4,0)</f>
        <v/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DCF Model — Unlevered Free Cash Flow  ($mm)</t>
        </is>
      </c>
    </row>
    <row r="2">
      <c r="A2" s="2" t="inlineStr">
        <is>
          <t>Line Item</t>
        </is>
      </c>
      <c r="F2" s="3" t="inlineStr">
        <is>
          <t>FY2024</t>
        </is>
      </c>
      <c r="G2" s="3" t="inlineStr">
        <is>
          <t>FY2025</t>
        </is>
      </c>
      <c r="H2" s="3" t="inlineStr">
        <is>
          <t>FY2026</t>
        </is>
      </c>
      <c r="I2" s="3" t="inlineStr">
        <is>
          <t>FY2027</t>
        </is>
      </c>
      <c r="J2" s="3" t="inlineStr">
        <is>
          <t>FY2028</t>
        </is>
      </c>
    </row>
    <row r="4">
      <c r="A4" s="9" t="inlineStr">
        <is>
          <t>EBIT (Operating Income)</t>
        </is>
      </c>
      <c r="F4" s="14">
        <f>'P&amp;L Projections'!F20</f>
        <v/>
      </c>
      <c r="G4" s="14">
        <f>'P&amp;L Projections'!G20</f>
        <v/>
      </c>
      <c r="H4" s="14">
        <f>'P&amp;L Projections'!H20</f>
        <v/>
      </c>
      <c r="I4" s="14">
        <f>'P&amp;L Projections'!I20</f>
        <v/>
      </c>
      <c r="J4" s="14">
        <f>'P&amp;L Projections'!J20</f>
        <v/>
      </c>
    </row>
    <row r="5">
      <c r="A5" s="9" t="inlineStr">
        <is>
          <t>Less: Taxes on EBIT  (Tax Rate)</t>
        </is>
      </c>
      <c r="F5" s="17">
        <f>'P&amp;L Projections'!F25</f>
        <v/>
      </c>
      <c r="G5" s="17">
        <f>'P&amp;L Projections'!G25</f>
        <v/>
      </c>
      <c r="H5" s="17">
        <f>'P&amp;L Projections'!H25</f>
        <v/>
      </c>
      <c r="I5" s="17">
        <f>'P&amp;L Projections'!I25</f>
        <v/>
      </c>
      <c r="J5" s="17">
        <f>'P&amp;L Projections'!J25</f>
        <v/>
      </c>
    </row>
    <row r="6">
      <c r="A6" s="9" t="inlineStr">
        <is>
          <t>Net Operating Profit After Tax (NOPAT)</t>
        </is>
      </c>
      <c r="F6" s="16">
        <f>F4*(1-F5)</f>
        <v/>
      </c>
      <c r="G6" s="16">
        <f>G4*(1-G5)</f>
        <v/>
      </c>
      <c r="H6" s="16">
        <f>H4*(1-H5)</f>
        <v/>
      </c>
      <c r="I6" s="16">
        <f>I4*(1-I5)</f>
        <v/>
      </c>
      <c r="J6" s="16">
        <f>J4*(1-J5)</f>
        <v/>
      </c>
    </row>
    <row r="8">
      <c r="A8" s="9" t="inlineStr">
        <is>
          <t>Add: Depreciation &amp; Amortization</t>
        </is>
      </c>
      <c r="F8" s="14">
        <f>'P&amp;L Projections'!F19</f>
        <v/>
      </c>
      <c r="G8" s="14">
        <f>'P&amp;L Projections'!G19</f>
        <v/>
      </c>
      <c r="H8" s="14">
        <f>'P&amp;L Projections'!H19</f>
        <v/>
      </c>
      <c r="I8" s="14">
        <f>'P&amp;L Projections'!I19</f>
        <v/>
      </c>
      <c r="J8" s="14">
        <f>'P&amp;L Projections'!J19</f>
        <v/>
      </c>
    </row>
    <row r="9">
      <c r="A9" s="9" t="inlineStr">
        <is>
          <t>Less: Capital Expenditures (Capex)</t>
        </is>
      </c>
      <c r="F9" s="7" t="n"/>
      <c r="G9" s="7" t="n"/>
      <c r="H9" s="7" t="n"/>
      <c r="I9" s="7" t="n"/>
      <c r="J9" s="7" t="n"/>
    </row>
    <row r="10">
      <c r="A10" s="9" t="inlineStr">
        <is>
          <t>Less: Increase in Net Working Capital</t>
        </is>
      </c>
      <c r="F10" s="7" t="n"/>
      <c r="G10" s="7" t="n"/>
      <c r="H10" s="7" t="n"/>
      <c r="I10" s="7" t="n"/>
      <c r="J10" s="7" t="n"/>
    </row>
    <row r="12">
      <c r="A12" s="6" t="inlineStr">
        <is>
          <t>Unlevered Free Cash Flow  (UFCF)</t>
        </is>
      </c>
      <c r="F12" s="16">
        <f>F6+F8-F9-F10</f>
        <v/>
      </c>
      <c r="G12" s="16">
        <f>G6+G8-G9-G10</f>
        <v/>
      </c>
      <c r="H12" s="16">
        <f>H6+H8-H9-H10</f>
        <v/>
      </c>
      <c r="I12" s="16">
        <f>I6+I8-I9-I10</f>
        <v/>
      </c>
      <c r="J12" s="16">
        <f>J6+J8-J9-J10</f>
        <v/>
      </c>
    </row>
    <row r="14">
      <c r="A14" s="9" t="inlineStr">
        <is>
          <t>Discount Period  (Mid-Year Convention)</t>
        </is>
      </c>
      <c r="F14" s="18">
        <f>0.5</f>
        <v/>
      </c>
      <c r="G14" s="18">
        <f>1.5</f>
        <v/>
      </c>
      <c r="H14" s="18">
        <f>2.5</f>
        <v/>
      </c>
      <c r="I14" s="18">
        <f>3.5</f>
        <v/>
      </c>
      <c r="J14" s="18">
        <f>4.5</f>
        <v/>
      </c>
    </row>
    <row r="15">
      <c r="A15" s="9" t="inlineStr">
        <is>
          <t>WACC</t>
        </is>
      </c>
      <c r="F15" s="17">
        <f>'WACC Calculation'!B19</f>
        <v/>
      </c>
      <c r="G15" s="17">
        <f>'WACC Calculation'!B19</f>
        <v/>
      </c>
      <c r="H15" s="17">
        <f>'WACC Calculation'!B19</f>
        <v/>
      </c>
      <c r="I15" s="17">
        <f>'WACC Calculation'!B19</f>
        <v/>
      </c>
      <c r="J15" s="17">
        <f>'WACC Calculation'!B19</f>
        <v/>
      </c>
    </row>
    <row r="16">
      <c r="A16" s="9" t="inlineStr">
        <is>
          <t>Discount Factor</t>
        </is>
      </c>
      <c r="F16" s="19">
        <f>1/(1+F15)^F14</f>
        <v/>
      </c>
      <c r="G16" s="19">
        <f>1/(1+G15)^G14</f>
        <v/>
      </c>
      <c r="H16" s="19">
        <f>1/(1+H15)^H14</f>
        <v/>
      </c>
      <c r="I16" s="19">
        <f>1/(1+I15)^I14</f>
        <v/>
      </c>
      <c r="J16" s="19">
        <f>1/(1+J15)^J14</f>
        <v/>
      </c>
    </row>
    <row r="17">
      <c r="A17" s="6" t="inlineStr">
        <is>
          <t>PV of Free Cash Flow</t>
        </is>
      </c>
      <c r="F17" s="16">
        <f>F12*F16</f>
        <v/>
      </c>
      <c r="G17" s="16">
        <f>G12*G16</f>
        <v/>
      </c>
      <c r="H17" s="16">
        <f>H12*H16</f>
        <v/>
      </c>
      <c r="I17" s="16">
        <f>I12*I16</f>
        <v/>
      </c>
      <c r="J17" s="16">
        <f>J12*J16</f>
        <v/>
      </c>
    </row>
    <row r="19">
      <c r="A19" s="6" t="inlineStr">
        <is>
          <t>Sum of PV of FCFs  (=NPV)</t>
        </is>
      </c>
      <c r="F19" s="8">
        <f>SUM(F17:J17)</f>
        <v/>
      </c>
    </row>
  </sheetData>
  <mergeCells count="2">
    <mergeCell ref="F19:J19"/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</cols>
  <sheetData>
    <row r="1" ht="28" customHeight="1">
      <c r="A1" s="1" t="inlineStr">
        <is>
          <t>DCF Model — WACC Calculation</t>
        </is>
      </c>
    </row>
    <row r="3">
      <c r="A3" s="20" t="inlineStr">
        <is>
          <t>COST OF EQUITY  (CAPM)</t>
        </is>
      </c>
      <c r="B3" s="21" t="n"/>
      <c r="C3" s="21" t="n"/>
    </row>
    <row r="4">
      <c r="A4" s="22" t="inlineStr">
        <is>
          <t>Risk-Free Rate  (10-yr UST)</t>
        </is>
      </c>
      <c r="B4" s="10" t="n"/>
    </row>
    <row r="5">
      <c r="A5" s="22" t="inlineStr">
        <is>
          <t>Equity Risk Premium  (ERP)</t>
        </is>
      </c>
      <c r="B5" s="10" t="n"/>
    </row>
    <row r="6">
      <c r="A6" s="22" t="inlineStr">
        <is>
          <t>Levered Beta</t>
        </is>
      </c>
      <c r="B6" s="23" t="n"/>
    </row>
    <row r="7">
      <c r="A7" s="24" t="inlineStr">
        <is>
          <t>Cost of Equity  [Ke]</t>
        </is>
      </c>
      <c r="B7" s="13">
        <f>B4+B6*B5</f>
        <v/>
      </c>
    </row>
    <row r="9">
      <c r="A9" s="20" t="inlineStr">
        <is>
          <t>COST OF DEBT</t>
        </is>
      </c>
      <c r="B9" s="21" t="n"/>
      <c r="C9" s="21" t="n"/>
    </row>
    <row r="10">
      <c r="A10" s="22" t="inlineStr">
        <is>
          <t>Pre-Tax Cost of Debt</t>
        </is>
      </c>
      <c r="B10" s="10" t="n"/>
    </row>
    <row r="11">
      <c r="A11" s="22" t="inlineStr">
        <is>
          <t>Marginal Tax Rate</t>
        </is>
      </c>
      <c r="B11" s="10" t="n"/>
    </row>
    <row r="12">
      <c r="A12" s="24" t="inlineStr">
        <is>
          <t>After-Tax Cost of Debt  [Kd]</t>
        </is>
      </c>
      <c r="B12" s="13">
        <f>B10*(1-B11)</f>
        <v/>
      </c>
    </row>
    <row r="14">
      <c r="A14" s="20" t="inlineStr">
        <is>
          <t>CAPITAL STRUCTURE</t>
        </is>
      </c>
      <c r="B14" s="21" t="n"/>
      <c r="C14" s="21" t="n"/>
    </row>
    <row r="15">
      <c r="A15" s="22" t="inlineStr">
        <is>
          <t>Equity Weight  [We]</t>
        </is>
      </c>
      <c r="B15" s="10" t="n"/>
    </row>
    <row r="16">
      <c r="A16" s="24" t="inlineStr">
        <is>
          <t>Debt Weight  [Wd]</t>
        </is>
      </c>
      <c r="B16" s="13">
        <f>1-B15</f>
        <v/>
      </c>
    </row>
    <row r="18">
      <c r="A18" s="20" t="inlineStr">
        <is>
          <t>WACC  (BLENDED RATE)</t>
        </is>
      </c>
      <c r="B18" s="21" t="n"/>
      <c r="C18" s="21" t="n"/>
    </row>
    <row r="19">
      <c r="A19" s="25" t="inlineStr">
        <is>
          <t>WACC</t>
        </is>
      </c>
      <c r="B19" s="26">
        <f>B7*B15+B12*B16</f>
        <v/>
      </c>
    </row>
    <row r="21">
      <c r="A21" s="20" t="inlineStr">
        <is>
          <t>SIZE &amp; SPECIFIC RISK PREMIA</t>
        </is>
      </c>
      <c r="B21" s="21" t="n"/>
      <c r="C21" s="21" t="n"/>
    </row>
    <row r="22">
      <c r="A22" s="22" t="inlineStr">
        <is>
          <t>Size Premium</t>
        </is>
      </c>
      <c r="B22" s="10" t="n"/>
    </row>
    <row r="23">
      <c r="A23" s="22" t="inlineStr">
        <is>
          <t>Company-Specific Risk Premium</t>
        </is>
      </c>
      <c r="B23" s="10" t="n"/>
    </row>
    <row r="24">
      <c r="A24" s="24" t="inlineStr">
        <is>
          <t>Adjusted Cost of Equity</t>
        </is>
      </c>
      <c r="B24" s="13">
        <f>B7+B22+B23</f>
        <v/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0" customWidth="1" min="3" max="3"/>
  </cols>
  <sheetData>
    <row r="1" ht="28" customHeight="1">
      <c r="A1" s="1" t="inlineStr">
        <is>
          <t>DCF Model — Terminal Value Analysis</t>
        </is>
      </c>
    </row>
    <row r="2" ht="18" customHeight="1">
      <c r="A2" s="2" t="inlineStr">
        <is>
          <t>Line Item</t>
        </is>
      </c>
      <c r="B2" s="3" t="inlineStr">
        <is>
          <t>Value</t>
        </is>
      </c>
    </row>
    <row r="4">
      <c r="A4" s="20" t="inlineStr">
        <is>
          <t>GORDON GROWTH MODEL (Perpetuity Growth)</t>
        </is>
      </c>
      <c r="B4" s="21" t="n"/>
      <c r="C4" s="21" t="n"/>
    </row>
    <row r="5">
      <c r="A5" s="22" t="inlineStr">
        <is>
          <t>Terminal Year UFCF  ($mm)</t>
        </is>
      </c>
      <c r="B5" s="14">
        <f>'Free Cash Flow'!J12</f>
        <v/>
      </c>
    </row>
    <row r="6">
      <c r="A6" s="22" t="inlineStr">
        <is>
          <t>Terminal Growth Rate  (g)</t>
        </is>
      </c>
      <c r="B6" s="10" t="n"/>
    </row>
    <row r="7">
      <c r="A7" s="22" t="inlineStr">
        <is>
          <t>WACC</t>
        </is>
      </c>
      <c r="B7" s="17">
        <f>'WACC Calculation'!B19</f>
        <v/>
      </c>
    </row>
    <row r="8">
      <c r="A8" s="24" t="inlineStr">
        <is>
          <t>Terminal Value  (GGM)</t>
        </is>
      </c>
      <c r="B8" s="8">
        <f>IFERROR(B5*(1+B6)/(B7-B6),0)</f>
        <v/>
      </c>
    </row>
    <row r="9">
      <c r="A9" s="24" t="inlineStr">
        <is>
          <t>Discount Factor  (end of Year 5)</t>
        </is>
      </c>
      <c r="B9" s="19">
        <f>IFERROR(1/(1+B7)^5,0)</f>
        <v/>
      </c>
    </row>
    <row r="10">
      <c r="A10" s="24" t="inlineStr">
        <is>
          <t>PV of Terminal Value  (GGM)  ($mm)</t>
        </is>
      </c>
      <c r="B10" s="8">
        <f>B8*B9</f>
        <v/>
      </c>
    </row>
    <row r="12">
      <c r="A12" s="20" t="inlineStr">
        <is>
          <t>EXIT MULTIPLE METHOD</t>
        </is>
      </c>
      <c r="B12" s="21" t="n"/>
      <c r="C12" s="21" t="n"/>
    </row>
    <row r="13">
      <c r="A13" s="22" t="inlineStr">
        <is>
          <t>Terminal Year EBITDA  ($mm)</t>
        </is>
      </c>
      <c r="B13" s="14">
        <f>'P&amp;L Projections'!J16</f>
        <v/>
      </c>
    </row>
    <row r="14">
      <c r="A14" s="22" t="inlineStr">
        <is>
          <t>Exit EV / EBITDA Multiple</t>
        </is>
      </c>
      <c r="B14" s="27" t="n"/>
    </row>
    <row r="15">
      <c r="A15" s="24" t="inlineStr">
        <is>
          <t>Terminal Value  (EV/EBITDA)</t>
        </is>
      </c>
      <c r="B15" s="8">
        <f>B13*B14</f>
        <v/>
      </c>
    </row>
    <row r="16">
      <c r="A16" s="24" t="inlineStr">
        <is>
          <t>PV of Terminal Value  (EV/EBITDA)  ($mm)</t>
        </is>
      </c>
      <c r="B16" s="8">
        <f>B15*B9</f>
        <v/>
      </c>
    </row>
    <row r="18">
      <c r="A18" s="20" t="inlineStr">
        <is>
          <t>SELECTED TERMINAL VALUE</t>
        </is>
      </c>
      <c r="B18" s="21" t="n"/>
      <c r="C18" s="21" t="n"/>
    </row>
    <row r="19">
      <c r="A19" s="24" t="inlineStr">
        <is>
          <t>Selected TV Method  (GGM shown)</t>
        </is>
      </c>
      <c r="B19" s="8">
        <f>B8</f>
        <v/>
      </c>
    </row>
    <row r="20">
      <c r="A20" s="24" t="inlineStr">
        <is>
          <t>PV of Selected Terminal Value  ($mm)</t>
        </is>
      </c>
      <c r="B20" s="8">
        <f>B10</f>
        <v/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18" customWidth="1" min="3" max="3"/>
  </cols>
  <sheetData>
    <row r="1" ht="28" customHeight="1">
      <c r="A1" s="1" t="inlineStr">
        <is>
          <t>DCF Model — Valuation Summary  ($mm)</t>
        </is>
      </c>
    </row>
    <row r="2">
      <c r="A2" s="28" t="inlineStr">
        <is>
          <t xml:space="preserve">  All values in $mm unless noted. Blue = input, Green = cross-sheet, Black = formula.</t>
        </is>
      </c>
    </row>
    <row r="4">
      <c r="A4" s="20" t="inlineStr">
        <is>
          <t>DCF ENTERPRISE VALUE</t>
        </is>
      </c>
      <c r="B4" s="21" t="n"/>
      <c r="C4" s="21" t="n"/>
    </row>
    <row r="5">
      <c r="A5" s="22" t="inlineStr">
        <is>
          <t>Sum of PV of Free Cash Flows  ($mm)</t>
        </is>
      </c>
      <c r="B5" s="8">
        <f>SUM('Free Cash Flow'!F17:'Free Cash Flow'!J17)</f>
        <v/>
      </c>
    </row>
    <row r="6">
      <c r="A6" s="22" t="inlineStr">
        <is>
          <t>PV of Terminal Value  ($mm)</t>
        </is>
      </c>
      <c r="B6" s="14">
        <f>'Terminal Value'!B20</f>
        <v/>
      </c>
    </row>
    <row r="7">
      <c r="A7" s="24" t="inlineStr">
        <is>
          <t>Enterprise Value (EV)  ($mm)</t>
        </is>
      </c>
      <c r="B7" s="8">
        <f>B5+B6</f>
        <v/>
      </c>
    </row>
    <row r="8">
      <c r="A8" s="22" t="inlineStr">
        <is>
          <t>Less: Net Debt (Debt – Cash)  ($mm)</t>
        </is>
      </c>
      <c r="B8" s="7" t="n"/>
    </row>
    <row r="9">
      <c r="A9" s="24" t="inlineStr">
        <is>
          <t>Equity Value  ($mm)</t>
        </is>
      </c>
      <c r="B9" s="8">
        <f>B7-B8</f>
        <v/>
      </c>
    </row>
    <row r="10">
      <c r="A10" s="22" t="inlineStr">
        <is>
          <t>Diluted Shares Outstanding  (mm)</t>
        </is>
      </c>
      <c r="B10" s="29" t="n"/>
    </row>
    <row r="11">
      <c r="A11" s="24" t="inlineStr">
        <is>
          <t>Implied Share Price  ($)</t>
        </is>
      </c>
      <c r="B11" s="30">
        <f>IFERROR(B9/B10,0)</f>
        <v/>
      </c>
    </row>
    <row r="13">
      <c r="A13" s="20" t="inlineStr">
        <is>
          <t>VALUATION RANGE SUMMARY</t>
        </is>
      </c>
      <c r="B13" s="21" t="n"/>
      <c r="C13" s="21" t="n"/>
    </row>
    <row r="14">
      <c r="A14" s="22" t="inlineStr">
        <is>
          <t>Bull Case  — Higher Exit Multiple / Growth</t>
        </is>
      </c>
      <c r="B14" s="7" t="n"/>
    </row>
    <row r="15">
      <c r="A15" s="22" t="inlineStr">
        <is>
          <t>Base Case  — Selected TV (above)</t>
        </is>
      </c>
      <c r="B15" s="8">
        <f>B7</f>
        <v/>
      </c>
    </row>
    <row r="16">
      <c r="A16" s="22" t="inlineStr">
        <is>
          <t>Bear Case  — Lower Exit Multiple / Growth</t>
        </is>
      </c>
      <c r="B16" s="7" t="n"/>
    </row>
    <row r="18">
      <c r="A18" s="20" t="inlineStr">
        <is>
          <t>XIRR / IMPLIED YIELD ANALYSIS</t>
        </is>
      </c>
      <c r="B18" s="21" t="n"/>
      <c r="C18" s="21" t="n"/>
    </row>
    <row r="19">
      <c r="A19" s="28" t="inlineStr">
        <is>
          <t xml:space="preserve">  Dates (Dec 31 of each year) — for XIRR formula</t>
        </is>
      </c>
    </row>
    <row r="20">
      <c r="A20" s="22" t="inlineStr">
        <is>
          <t xml:space="preserve">  Year 0 Date  (Investment Date)</t>
        </is>
      </c>
      <c r="B20" s="31" t="n"/>
    </row>
    <row r="21">
      <c r="A21" s="22" t="inlineStr">
        <is>
          <t xml:space="preserve">  Year 1 Date</t>
        </is>
      </c>
      <c r="B21" s="31" t="n"/>
    </row>
    <row r="22">
      <c r="A22" s="22" t="inlineStr">
        <is>
          <t xml:space="preserve">  Year 2 Date</t>
        </is>
      </c>
      <c r="B22" s="31" t="n"/>
    </row>
    <row r="23">
      <c r="A23" s="22" t="inlineStr">
        <is>
          <t xml:space="preserve">  Year 3 Date</t>
        </is>
      </c>
      <c r="B23" s="31" t="n"/>
    </row>
    <row r="24">
      <c r="A24" s="22" t="inlineStr">
        <is>
          <t xml:space="preserve">  Year 4 Date</t>
        </is>
      </c>
      <c r="B24" s="31" t="n"/>
    </row>
    <row r="25">
      <c r="A25" s="22" t="inlineStr">
        <is>
          <t xml:space="preserve">  Year 5 Date  (Exit Date)</t>
        </is>
      </c>
      <c r="B25" s="31" t="n"/>
    </row>
    <row r="27">
      <c r="A27" s="22" t="inlineStr">
        <is>
          <t xml:space="preserve">  Yr 0 Cash Flow — Initial Investment</t>
        </is>
      </c>
      <c r="B27" s="8">
        <f>-B7</f>
        <v/>
      </c>
    </row>
    <row r="28">
      <c r="A28" s="22" t="inlineStr">
        <is>
          <t xml:space="preserve">  Yr 1 Cash Flow — UFCF Year 1</t>
        </is>
      </c>
      <c r="B28" s="14">
        <f>'Free Cash Flow'!F12</f>
        <v/>
      </c>
    </row>
    <row r="29">
      <c r="A29" s="22" t="inlineStr">
        <is>
          <t xml:space="preserve">  Yr 2 Cash Flow — UFCF Year 2</t>
        </is>
      </c>
      <c r="B29" s="14">
        <f>'Free Cash Flow'!G12</f>
        <v/>
      </c>
    </row>
    <row r="30">
      <c r="A30" s="22" t="inlineStr">
        <is>
          <t xml:space="preserve">  Yr 3 Cash Flow — UFCF Year 3</t>
        </is>
      </c>
      <c r="B30" s="14">
        <f>'Free Cash Flow'!H12</f>
        <v/>
      </c>
    </row>
    <row r="31">
      <c r="A31" s="22" t="inlineStr">
        <is>
          <t xml:space="preserve">  Yr 4 Cash Flow — UFCF Year 4</t>
        </is>
      </c>
      <c r="B31" s="14">
        <f>'Free Cash Flow'!I12</f>
        <v/>
      </c>
    </row>
    <row r="32">
      <c r="A32" s="22" t="inlineStr">
        <is>
          <t xml:space="preserve">  Yr 5 Cash Flow — UFCF + TV</t>
        </is>
      </c>
      <c r="B32" s="8">
        <f>'Free Cash Flow'!J12+'Terminal Value'!B19</f>
        <v/>
      </c>
    </row>
    <row r="34">
      <c r="A34" s="25" t="inlineStr">
        <is>
          <t>XIRR  (Implied Yield on FCFs + TV)</t>
        </is>
      </c>
      <c r="B34" s="26">
        <f>IFERROR(XIRR(B27:B32,B20:B25),0)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2026-04-08T14:19:33Z</dcterms:created>
  <dcterms:modified xmlns:dcterms="http://purl.org/dc/terms/" xmlns:xsi="http://www.w3.org/2001/XMLSchema-instance" xsi:type="dcterms:W3CDTF">2026-04-08T14:19:33Z</dcterms:modified>
</cp:coreProperties>
</file>